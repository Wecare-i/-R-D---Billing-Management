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4D3B2F1-D145-41D6-B18F-E815CF89E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àn ứng_CP ads T11" sheetId="1" r:id="rId1"/>
    <sheet name="BKCP  (Không hóa đơn)" sheetId="2" state="hidden" r:id="rId2"/>
    <sheet name="Bản sao của BKCP  (Có hóa đơn)" sheetId="3" state="hidden" r:id="rId3"/>
    <sheet name="Bản sao của Bản sao của BKCP  (" sheetId="4" state="hidden" r:id="rId4"/>
    <sheet name="BKCP (Không hóa đơn)" sheetId="5" state="hidden" r:id="rId5"/>
    <sheet name="Tiền 1 (KHĐ)" sheetId="6" state="hidden" r:id="rId6"/>
    <sheet name="Tiền 2 (CHĐ)" sheetId="7" state="hidden" r:id="rId7"/>
    <sheet name="Hồng Trinh (Không HĐ)" sheetId="8" r:id="rId8"/>
    <sheet name="Bản sao của Mỹ Trang (không HĐ)" sheetId="9" state="hidden" r:id="rId9"/>
    <sheet name="Bản sao của Bản sao của Mỹ Tran" sheetId="10" state="hidden" r:id="rId10"/>
    <sheet name="Bản sao của Mỹ Trang (Có HĐ)" sheetId="11" state="hidden" r:id="rId11"/>
    <sheet name="Trang (Không HĐ)" sheetId="12" state="hidden" r:id="rId12"/>
    <sheet name="Bản sao của Trang (Có HĐ)" sheetId="13" state="hidden" r:id="rId13"/>
    <sheet name="Bản sao của Bản sao của Trang (" sheetId="14" state="hidden" r:id="rId14"/>
    <sheet name="Trang (Có HĐ)" sheetId="15" state="hidden" r:id="rId15"/>
    <sheet name="Mỹ Trang 1 (Có VAT)" sheetId="16" state="hidden" r:id="rId16"/>
    <sheet name="ĐDCT" sheetId="17" state="hidden" r:id="rId17"/>
    <sheet name="Bản sao của ĐDCT" sheetId="18" state="hidden" r:id="rId18"/>
    <sheet name="LĐĐ" sheetId="19" state="hidden" r:id="rId19"/>
    <sheet name="đơn duyệt công tác (QN)" sheetId="20" state="hidden" r:id="rId20"/>
    <sheet name="Bản sao của đơn duyệt công tác " sheetId="21" state="hidden" r:id="rId21"/>
    <sheet name="Bản sao của Lệnh đi đường" sheetId="22" state="hidden" r:id="rId22"/>
    <sheet name="Bản sao của bảng kê chi phí" sheetId="23" state="hidden" r:id="rId23"/>
    <sheet name="Trần Quang Thuận" sheetId="24" state="hidden" r:id="rId24"/>
    <sheet name="Trang tính6" sheetId="25" state="hidden" r:id="rId25"/>
    <sheet name="Trang tính8" sheetId="26" state="hidden" r:id="rId26"/>
    <sheet name="Trang tính9" sheetId="27" state="hidden" r:id="rId27"/>
  </sheets>
  <calcPr calcId="181029"/>
  <extLst>
    <ext uri="GoogleSheetsCustomDataVersion2">
      <go:sheetsCustomData xmlns:go="http://customooxmlschemas.google.com/" r:id="rId31" roundtripDataChecksum="GqmxdB4fdYLlXpFYBZPv2rY8roYSj9mUBHKr86bPODg="/>
    </ext>
  </extLst>
</workbook>
</file>

<file path=xl/calcChain.xml><?xml version="1.0" encoding="utf-8"?>
<calcChain xmlns="http://schemas.openxmlformats.org/spreadsheetml/2006/main">
  <c r="H40" i="25" l="1"/>
  <c r="C40" i="25"/>
  <c r="F22" i="25"/>
  <c r="H16" i="25"/>
  <c r="C16" i="25"/>
  <c r="I11" i="24"/>
  <c r="G11" i="24"/>
  <c r="G9" i="23"/>
  <c r="I8" i="23"/>
  <c r="I9" i="23" s="1"/>
  <c r="B30" i="16"/>
  <c r="A27" i="16"/>
  <c r="G16" i="16"/>
  <c r="I15" i="16"/>
  <c r="I14" i="16"/>
  <c r="I16" i="16" s="1"/>
  <c r="G17" i="15"/>
  <c r="I16" i="15"/>
  <c r="I15" i="15"/>
  <c r="I14" i="15"/>
  <c r="I17" i="15" s="1"/>
  <c r="I30" i="14"/>
  <c r="G30" i="14"/>
  <c r="I29" i="14"/>
  <c r="G29" i="14"/>
  <c r="I28" i="14"/>
  <c r="G28" i="14"/>
  <c r="I27" i="14"/>
  <c r="G27" i="14"/>
  <c r="I26" i="14"/>
  <c r="G26" i="14"/>
  <c r="I25" i="14"/>
  <c r="G25" i="14"/>
  <c r="I24" i="14"/>
  <c r="G24" i="14"/>
  <c r="I23" i="14"/>
  <c r="I22" i="14"/>
  <c r="I21" i="14"/>
  <c r="G21" i="14"/>
  <c r="I20" i="14"/>
  <c r="I31" i="14" s="1"/>
  <c r="G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G22" i="13"/>
  <c r="I22" i="13" s="1"/>
  <c r="I21" i="13"/>
  <c r="G21" i="13"/>
  <c r="I20" i="13"/>
  <c r="M10" i="13"/>
  <c r="M9" i="13"/>
  <c r="G28" i="12"/>
  <c r="I28" i="12" s="1"/>
  <c r="G27" i="12"/>
  <c r="I27" i="12" s="1"/>
  <c r="G26" i="12"/>
  <c r="I26" i="12" s="1"/>
  <c r="G25" i="12"/>
  <c r="I25" i="12" s="1"/>
  <c r="G24" i="12"/>
  <c r="I24" i="12" s="1"/>
  <c r="G23" i="12"/>
  <c r="I23" i="12" s="1"/>
  <c r="G22" i="12"/>
  <c r="I22" i="12" s="1"/>
  <c r="I21" i="12"/>
  <c r="G20" i="12"/>
  <c r="G29" i="12" s="1"/>
  <c r="I15" i="11"/>
  <c r="G14" i="11"/>
  <c r="I14" i="11" s="1"/>
  <c r="I16" i="11" s="1"/>
  <c r="G15" i="10"/>
  <c r="G16" i="10" s="1"/>
  <c r="I14" i="10"/>
  <c r="I24" i="9"/>
  <c r="G24" i="9"/>
  <c r="I24" i="8"/>
  <c r="G24" i="8"/>
  <c r="I23" i="8"/>
  <c r="I22" i="8"/>
  <c r="I21" i="8"/>
  <c r="I20" i="8"/>
  <c r="I19" i="8"/>
  <c r="I18" i="8"/>
  <c r="I17" i="8"/>
  <c r="I16" i="8"/>
  <c r="I15" i="8"/>
  <c r="I14" i="8"/>
  <c r="G15" i="7"/>
  <c r="I14" i="7"/>
  <c r="I13" i="7"/>
  <c r="I12" i="7"/>
  <c r="I15" i="7" s="1"/>
  <c r="I11" i="7"/>
  <c r="G12" i="6"/>
  <c r="I11" i="6"/>
  <c r="I12" i="6" s="1"/>
  <c r="G12" i="5"/>
  <c r="I12" i="5" s="1"/>
  <c r="G11" i="5"/>
  <c r="G13" i="5" s="1"/>
  <c r="I8" i="4"/>
  <c r="G8" i="4"/>
  <c r="I7" i="4"/>
  <c r="I36" i="3"/>
  <c r="G36" i="3"/>
  <c r="G35" i="3"/>
  <c r="I35" i="3" s="1"/>
  <c r="I34" i="3"/>
  <c r="G34" i="3"/>
  <c r="G33" i="3"/>
  <c r="I33" i="3" s="1"/>
  <c r="I32" i="3"/>
  <c r="I31" i="3"/>
  <c r="I30" i="3"/>
  <c r="I29" i="3"/>
  <c r="I28" i="3"/>
  <c r="I37" i="3" s="1"/>
  <c r="I20" i="2"/>
  <c r="I19" i="2"/>
  <c r="I18" i="2"/>
  <c r="I17" i="2"/>
  <c r="I16" i="2"/>
  <c r="I15" i="2"/>
  <c r="I14" i="2"/>
  <c r="I13" i="2"/>
  <c r="I12" i="2"/>
  <c r="I11" i="2"/>
  <c r="G10" i="2"/>
  <c r="G21" i="2" s="1"/>
  <c r="I9" i="2"/>
  <c r="I8" i="2"/>
  <c r="Q7" i="1"/>
  <c r="I44" i="13" l="1"/>
  <c r="I10" i="2"/>
  <c r="I21" i="2" s="1"/>
  <c r="I11" i="5"/>
  <c r="I13" i="5" s="1"/>
  <c r="G16" i="11"/>
  <c r="G37" i="3"/>
  <c r="I15" i="10"/>
  <c r="I16" i="10" s="1"/>
  <c r="I20" i="12"/>
  <c r="I29" i="12" s="1"/>
</calcChain>
</file>

<file path=xl/sharedStrings.xml><?xml version="1.0" encoding="utf-8"?>
<sst xmlns="http://schemas.openxmlformats.org/spreadsheetml/2006/main" count="1474" uniqueCount="311">
  <si>
    <t>PHIẾU ĐỀ NGHỊ HOÀN ỨNG
 REFUND REQUISITION</t>
  </si>
  <si>
    <t>Ngày/Day 04 Tháng/Month 03 Năm/Year 2026</t>
  </si>
  <si>
    <t xml:space="preserve">      KTWC/01/PĐNHU</t>
  </si>
  <si>
    <t>Thanh toán chi phí / Expenses</t>
  </si>
  <si>
    <t xml:space="preserve"> Thanh toán cho nhà cung cấp / Suppliers</t>
  </si>
  <si>
    <t>Họ tên
 Name</t>
  </si>
  <si>
    <t>Võ Thị Hồng Trinh</t>
  </si>
  <si>
    <t>Chi nhánh 
 Branch</t>
  </si>
  <si>
    <t>HCM</t>
  </si>
  <si>
    <t>Bộ phận
 Dept</t>
  </si>
  <si>
    <t>Marketing</t>
  </si>
  <si>
    <t>Chức danh
  Title</t>
  </si>
  <si>
    <t>Trưởng nhóm Marketing</t>
  </si>
  <si>
    <t>STT 
 No</t>
  </si>
  <si>
    <t>Loại chi phí
 Type</t>
  </si>
  <si>
    <t>Nội dung (Ngắn gọn sự việc, số hợp đồng)
 Description</t>
  </si>
  <si>
    <t>Số tiền
  Amount</t>
  </si>
  <si>
    <t>Ghi chú/Số hóa đơn
 Remark/Invoice</t>
  </si>
  <si>
    <t>Chi phí khác</t>
  </si>
  <si>
    <t>Hoàn ứng chi phí chạy Ads Facebook cho thị trường miền Tây + Chi phí chạy phủ truyền thông VAT</t>
  </si>
  <si>
    <t>00000111</t>
  </si>
  <si>
    <t>Tổng cộng / Total</t>
  </si>
  <si>
    <t>Bằng chữ /
 In words</t>
  </si>
  <si>
    <t>Hai mươi hai triệu tám trăm chín mươi bốn nghìn chín trăm không sáu đồng</t>
  </si>
  <si>
    <t>Phần đã tạm ứng
 Advanced amount:</t>
  </si>
  <si>
    <t>Số phiếu 
 No.</t>
  </si>
  <si>
    <t>Ngày
 Date</t>
  </si>
  <si>
    <t>Số tiền
 Amount</t>
  </si>
  <si>
    <t>Số tiền còn thừa/ Refund r</t>
  </si>
  <si>
    <t>Số tiền còn phải thanh toán/Claimed amount r</t>
  </si>
  <si>
    <t>Hình thức thanh toán/ Payment method</t>
  </si>
  <si>
    <t>Tiền mặt/Cash r</t>
  </si>
  <si>
    <t>Chuyển khoản/Transfer r</t>
  </si>
  <si>
    <t>Số tài khoản 
 Bank account</t>
  </si>
  <si>
    <t>Tên tài khoản
  Account Name</t>
  </si>
  <si>
    <t>Tại ngân hàng 
 At bank</t>
  </si>
  <si>
    <t>Người đề nghị
 Preparer</t>
  </si>
  <si>
    <t>Trưởng bộ phận xét duyệt
 Verifier</t>
  </si>
  <si>
    <t>Kế toán 
 Accountant</t>
  </si>
  <si>
    <t>BOD Phê duyệt
 Approver</t>
  </si>
  <si>
    <t>Võ Thị Hồng Tinh</t>
  </si>
  <si>
    <t>Lê Sinh Thông</t>
  </si>
  <si>
    <t>Võ Quốc Thắng</t>
  </si>
  <si>
    <t>Lê Thị Ngọc Anh</t>
  </si>
  <si>
    <t>BẢNG KÊ CHI PHÍ
 LIST OF CHARGES</t>
  </si>
  <si>
    <t>KTWC/01/BKCTP</t>
  </si>
  <si>
    <t>Họ tên:
 Name</t>
  </si>
  <si>
    <t>Hà Bông</t>
  </si>
  <si>
    <t>Chi phí công tác</t>
  </si>
  <si>
    <t>Chức danh:
  Title</t>
  </si>
  <si>
    <t>Trưởng nhóm kinh doanh bán lẻ</t>
  </si>
  <si>
    <t>Ngày đề xuất / Date</t>
  </si>
  <si>
    <t>Bộ phận
 Department</t>
  </si>
  <si>
    <t>Phòng phát triển kinh doanh</t>
  </si>
  <si>
    <t>Bình Định</t>
  </si>
  <si>
    <t>Mục đích chi:
 Purpose of payment:</t>
  </si>
  <si>
    <t>STT
 No</t>
  </si>
  <si>
    <t>Ngày hóa đơn
 Date</t>
  </si>
  <si>
    <t>Nội dung 
  Description</t>
  </si>
  <si>
    <t>Ngoại tệ 
 Currency</t>
  </si>
  <si>
    <t>Tỷ giá
 exchange rate</t>
  </si>
  <si>
    <t>Tổng số tiền 
 (VND)
 Total</t>
  </si>
  <si>
    <t>Tiền Cafe ngày 08/08/2025</t>
  </si>
  <si>
    <t>11/08.2025</t>
  </si>
  <si>
    <t>Tiền ăn trưa cùng Team ngày 11/8/2025</t>
  </si>
  <si>
    <t>Tiền cafe cùng Team ngày 11/8/2025 (Mất hóa đơn)</t>
  </si>
  <si>
    <t>Tiền khách sạn tại Cái Bè 10/08 - 12/08 (2 ngày)</t>
  </si>
  <si>
    <t>Khách sạn Long Giang 11/08 -13/08 (3 đêm)</t>
  </si>
  <si>
    <t>Tiền Cafe cùng Team Tiền Giang ngày 14/8/2025</t>
  </si>
  <si>
    <t>Tiền Cafe cùng Team Tiền Giang ngày 18/8/2025</t>
  </si>
  <si>
    <t>Tiền Ăn Team Vĩnh Long ngày 26/08/2025</t>
  </si>
  <si>
    <t>Tiền Ăn Team Sài Gòn ngày 29/08/2025</t>
  </si>
  <si>
    <t>Tiền ăn team Tiền Giang</t>
  </si>
  <si>
    <t>Xe khách Quy Nhơn đi Sài Gòn</t>
  </si>
  <si>
    <t>Xe khách Sài Gòn đi Quy Nhơn</t>
  </si>
  <si>
    <t>Tiền Cafe cùng Team  ngày 25/8/2025 (Mất hóa đơn)</t>
  </si>
  <si>
    <t>Total</t>
  </si>
  <si>
    <t>Trưởng bộ phận</t>
  </si>
  <si>
    <t>Người đề nghị 
 Proponent</t>
  </si>
  <si>
    <t>Trần Văn Tiền</t>
  </si>
  <si>
    <t>Bùi Thị Mỹ Trang</t>
  </si>
  <si>
    <t>Trần Đăng Khôi</t>
  </si>
  <si>
    <t>Giám đốc Điều hành</t>
  </si>
  <si>
    <t>Ban Giám đốc</t>
  </si>
  <si>
    <t>La Hoài Phương</t>
  </si>
  <si>
    <t>Giám sát vùng Kinh doanh bán lẻ</t>
  </si>
  <si>
    <t>Phạm Thị Ngọc Nữ</t>
  </si>
  <si>
    <t>Nhân viên Kinh doanh bán lẻ</t>
  </si>
  <si>
    <t>Nguyễn Quốc Chinh</t>
  </si>
  <si>
    <t>Trưởng nhóm khu vực Kinh doanh bán lẻ</t>
  </si>
  <si>
    <t>Phạm Quốc Hưng</t>
  </si>
  <si>
    <t>Trưởng phòng Phát triển Kinh doanh</t>
  </si>
  <si>
    <t>00000121</t>
  </si>
  <si>
    <t>Tiền thuê khách sạn tại Sài Gòn (1 đêm)
Hà Bông</t>
  </si>
  <si>
    <t>00000122</t>
  </si>
  <si>
    <t>Tiền thuê khách sạn tại Đồng Tháp (3 phòng)
Trần Đăng Khôi 
Hà Bông
La Hoài Phương</t>
  </si>
  <si>
    <t>Tiền thuê khách sạn Mỹ Tho 13/08/2025
(1 đêm)
Hà Bông</t>
  </si>
  <si>
    <t>00000129</t>
  </si>
  <si>
    <t>Tiền thuê khách sạn tại Đồng Tháp (8 đêm)
Hà Bông</t>
  </si>
  <si>
    <t>00000127</t>
  </si>
  <si>
    <t>Tiền thuê khách sạn tại Đồng Tháp (8 đêm)
Phạm Thị Ngọc Nữ</t>
  </si>
  <si>
    <t>Tiền thuê khách sạn tại Sài Gòn 2 đêm (29/08-31/08/2025)
Nguyễn Quốc Chinh</t>
  </si>
  <si>
    <t>Tiền thuê khách sạn tại Sài Gòn (2 đêm)
Phạm Quốc Hưng</t>
  </si>
  <si>
    <t>Tiền thuê khách sạn tại Sài Gòn (2 đêm)
Trần Văn Tiền</t>
  </si>
  <si>
    <t>Tiền thuê khách sạn tại Sài Gòn (1 đêm)
Bùi Thị Mỹ Trang</t>
  </si>
  <si>
    <t>Giá trên đã bao gồm VAT</t>
  </si>
  <si>
    <t>Thanh toán chi phí CTP Hà Bông 07/08 - 31/08/2025  (20 ngày)</t>
  </si>
  <si>
    <t>Chi phí in ấn</t>
  </si>
  <si>
    <t>00000101</t>
  </si>
  <si>
    <t>Thanh toán chi phí in trắng đen Catalogue A4 - Lò xo kẽm trắng cho thị trường  Miền Tây</t>
  </si>
  <si>
    <t>Thanh toán chi phí in  màu - Catalogue A4 - Lò xo kẽm trắng cho thị trường  Miền Tây</t>
  </si>
  <si>
    <t>Trợ lý giám đốc</t>
  </si>
  <si>
    <t>Thanh toán chi phí CTP Trần Văn Tiền ngày 29/08 và 30/08/2025</t>
  </si>
  <si>
    <t>Thanh toán chi phí di chuyển từ Quy Nhơn đi Hồ Chí Minh</t>
  </si>
  <si>
    <t>Thanh toán chi phí di chuyển từ Bến xe về Khách sạn</t>
  </si>
  <si>
    <t>Thanh toán chi phí di chuyển từ Hồ Chí Minh đi Quy Nhơn</t>
  </si>
  <si>
    <t>Thanh toán chi phí di chuyển từ Khách sạn lên Bến xe</t>
  </si>
  <si>
    <t>Chi phí Marketing</t>
  </si>
  <si>
    <t>Hồ Chí Minh</t>
  </si>
  <si>
    <t>Huỳnh Minh Trung</t>
  </si>
  <si>
    <t>Trưởng nhóm Kinh doanh Online</t>
  </si>
  <si>
    <t>Sales</t>
  </si>
  <si>
    <t>Chi phí quảng cáo</t>
  </si>
  <si>
    <t>04/09/2025</t>
  </si>
  <si>
    <t>Thanh toán tiền thuê Khách sạn từ ngày 17/09 - 19/09/2025
(3 ngày)</t>
  </si>
  <si>
    <t>Thanh toán chi phí CTP Bùi Thị Mỹ Trang 17/09 - 19/09/2025</t>
  </si>
  <si>
    <t>Lê Nguyễn Hồng Phúc</t>
  </si>
  <si>
    <t>MKT Manager</t>
  </si>
  <si>
    <t>Nguyễn Thị Chính</t>
  </si>
  <si>
    <t>Chuyên viên Marketing</t>
  </si>
  <si>
    <t>Thanh toán tiền thuê Khách sạn tại Kon Tum ngày 13/09/2025
( 3 phòng)
Lê Nguyễn Hồng Phúc: 450,000đ/Phòng
Nguyễn Thị Chính: 350,000đ/Phòng
Bùi Thị Mỹ Trang: 350,000đ/Phòng</t>
  </si>
  <si>
    <t>Thanh toán tiền thuê thiết bị quay phim từ ngày 12/09 - 16/09/2025 
(350,000 x 5 ngày)</t>
  </si>
  <si>
    <t>Thanh toán tiền vé xe từ Quy Nhơn đi Quảng Ngãi 
3 người (120,000đ/Người)</t>
  </si>
  <si>
    <t>Thanh toán tiền vé xe từ Quảng Ngãi đi Kon Tum
3 người (300,000đ/Người)</t>
  </si>
  <si>
    <t>Thanh toán tiền vé xe từ Kon Tum đi Gia Lai 3 người (150,000đ/Người)</t>
  </si>
  <si>
    <t>Thanh toán tiền vé xe từ Gia Lai đi Đắk Lắk 3 người (350,000đ/Người)</t>
  </si>
  <si>
    <t>Thanh toán tiền vé xe từ Đắk Lắk đi Khánh Hòa 3 người (250,000đ/Người)</t>
  </si>
  <si>
    <t>Thanh toán tiền vé xe từ Khánh Hòa đi Ninh Thuận 3 người (140,000đ/Người)</t>
  </si>
  <si>
    <t>Thanh toán tiền vé xe từ Ninh Thuận về Quy Nhơn 3 người (300,000đ/Người)</t>
  </si>
  <si>
    <t xml:space="preserve"> </t>
  </si>
  <si>
    <t>Thanh toán CTP Lê Nguyễn Hồng Phúc ngày 12/09/2025</t>
  </si>
  <si>
    <t>Thanh toán CTP từ ngày 13/09 - 16/09/2025 (4 ngày)
Lê Nguyễn Hồng Phúc
Bùi Thị Mỹ Trang
Nguyễn Thị Chính</t>
  </si>
  <si>
    <t>00000673</t>
  </si>
  <si>
    <t>Thanh toán tiền thuê Khách sạn tại Đắk Lắk ngày 15/09/2025 (3 phòng)
Lê Nguyễn Hồng Phúc: 450,000đ/Phòng
Nguyễn Thị Chính: 350,000đ/Phòng
Bùi Thị Mỹ Trang: 350,000đ/Phòng</t>
  </si>
  <si>
    <t>1257</t>
  </si>
  <si>
    <t>Thanh toán tiền thuê Khách sạn tại Khánh Hòa từ ngày 15/09 - 16/09/2025
( 1 đêm - 2 phòng)</t>
  </si>
  <si>
    <t>Cước đường bộ xe 51L30236T đi qua đoạn
Long Phước - Phan Thiết - Dầu Giây thời
gian GD 14:51:10 ngày 12/09/2025 mã GD
1990025076</t>
  </si>
  <si>
    <t>Cước đường bộ xe 51L30236T đi qua
đoạn Km133+770 - Suối Dầu thời gian
GD 18:28:21 ngày 12/09/2025 mã GD
1990318343</t>
  </si>
  <si>
    <t>Cước đường bộ xe 51L30236T đi qua trạm
Ninh Lộc thời gian GD 04:30:40 ngày
13/09/2025 mã GD 1990921709</t>
  </si>
  <si>
    <t>Cước đường bộ xe 51L30236T đi qua
trạm Hầm Đèo Cả thời gian GD
05:31:42 ngày 13/09/2025 mã GD
1990962250</t>
  </si>
  <si>
    <t>Cước đường bộ xe 51L30236T đi qua trạm
An Dân thời gian GD 06:41:28 ngày
13/09/2025 mã GD 1991035759</t>
  </si>
  <si>
    <t>Cước đường bộ xe 51L30236T đi qua trạm
Nam Bình Định thời gian GD 11:15:53 ngày
13/09/2025 mã GD 1991484881</t>
  </si>
  <si>
    <t>Cước đường bộ xe 51L30236T đi qua
trạm Bắc Bình Định thời gian GD
12:30:42 ngày 13/09/2025 mã GD
1991600950</t>
  </si>
  <si>
    <t>Cước đường bộ xe 51L30236T đi qua trạm
Tư Nghĩa thời gian GD 14:02:31 ngày
13/09/2025 mã GD 1991748410</t>
  </si>
  <si>
    <t>Cước đường bộ xe 51L30236T đi qua
trạm Gia Lai 1 thời gian GD 14:27:05
ngày 14/09/2025 mã GD 1993342721</t>
  </si>
  <si>
    <t>Cước đường bộ xe 51L30236T đi qua trạm
Gia Lai 2 thời gian GD 15:33:39 ngày
14/09/2025 mã GD 1993448031</t>
  </si>
  <si>
    <t>Cước đường bộ xe 51L30236T đi qua
trạm Đắk Lắk thời gian GD 11:17:50
ngày 15/09/2025 mã GD 1994665682</t>
  </si>
  <si>
    <t>Cước đường bộ xe 51L30236T đi qua trạm
Ninh Lộc thời gian GD 14:40:39 ngày
15/09/2025 mã GD 1994971543</t>
  </si>
  <si>
    <t>Cước đường bộ xe 51L30236T đi qua
đoạn Suối Dầu - Diên Khánh thời gian
GD 16:21:17 ngày 15/09/2025 mã GD
1995119972</t>
  </si>
  <si>
    <t>Cước đường bộ xe 51L30236T đi qua đoạn
Cam Lâm - Du Long thời gian GD 08:50:13
ngày 16/09/2025 mã GD 1995951802</t>
  </si>
  <si>
    <t>Cước đường bộ xe 51L30236T đi qua
trạm Cà Ná thời gian GD 10:25:47 ngày
16/09/2025 mã GD 1996157597</t>
  </si>
  <si>
    <t>Cước đường bộ xe 51L30236T đi qua đoạn
Phan Thiết - Dầu Giây - Long Phước thời
gian GD 14:15:23 ngày 16/09/2025 mã GD
1996368510</t>
  </si>
  <si>
    <t>Xăng RON 95 Mức 3</t>
  </si>
  <si>
    <t>Xăng RON 95 Mức 5</t>
  </si>
  <si>
    <t>Thanh toán tiền thuê Khách sạn tại Đắk Lắk ngày 15/09/2025 (3 phòng)</t>
  </si>
  <si>
    <t>Thanh toán tiền xe đi từ Văn phòng Hồ Chí Minh tới Bến xe để về lại Quy Nhơn</t>
  </si>
  <si>
    <t>Thanh toán chi phí di chuyển từ TP.Hồ Chí Minh về Quy Nhơn</t>
  </si>
  <si>
    <t xml:space="preserve">ĐƠN DUYỆT CÔNG TÁC </t>
  </si>
  <si>
    <t>Họ tên</t>
  </si>
  <si>
    <t>Chi nhánh</t>
  </si>
  <si>
    <t>Bộ phận</t>
  </si>
  <si>
    <t>Chức danh</t>
  </si>
  <si>
    <t>Mã NV</t>
  </si>
  <si>
    <t>Ngày đề nghị</t>
  </si>
  <si>
    <t>NV01025</t>
  </si>
  <si>
    <t>NV-01349</t>
  </si>
  <si>
    <t>Tp. Hồ Chí Minh</t>
  </si>
  <si>
    <t>NV-01390</t>
  </si>
  <si>
    <t>Địa điểm công tác</t>
  </si>
  <si>
    <t>¨</t>
  </si>
  <si>
    <t>Nước ngoài</t>
  </si>
  <si>
    <t>Trong nước</t>
  </si>
  <si>
    <t>Nội thành</t>
  </si>
  <si>
    <t>Địa chỉ công tác</t>
  </si>
  <si>
    <t>Miền Nam</t>
  </si>
  <si>
    <t>Lý do công tác</t>
  </si>
  <si>
    <t>Đi công tác tại  Miền Nam</t>
  </si>
  <si>
    <t>Thời gian công tác</t>
  </si>
  <si>
    <t>Từ ngày 16/09/2025</t>
  </si>
  <si>
    <t>Đến ngày 19/09/2025</t>
  </si>
  <si>
    <t>Điều kiện công tác</t>
  </si>
  <si>
    <t>Vé máy bay</t>
  </si>
  <si>
    <t>Xe công ty</t>
  </si>
  <si>
    <t>Xe ngoài</t>
  </si>
  <si>
    <r>
      <rPr>
        <sz val="13"/>
        <color rgb="FF000000"/>
        <rFont val="&quot;Times New Roman&quot;, serif"/>
      </rPr>
      <t xml:space="preserve">Xe khách </t>
    </r>
    <r>
      <rPr>
        <b/>
        <sz val="13"/>
        <color rgb="FFFF0000"/>
        <rFont val="&quot;Times New Roman&quot;, serif"/>
      </rPr>
      <t>X</t>
    </r>
  </si>
  <si>
    <t>VISA</t>
  </si>
  <si>
    <t>Khách sạn</t>
  </si>
  <si>
    <t>Xe cá nhân</t>
  </si>
  <si>
    <t xml:space="preserve">Xe lửa </t>
  </si>
  <si>
    <t>Trưởng nhóm</t>
  </si>
  <si>
    <t>Từ ngày 10/09/2025</t>
  </si>
  <si>
    <r>
      <rPr>
        <sz val="10"/>
        <color rgb="FF000000"/>
        <rFont val="&quot;Times New Roman&quot;, serif"/>
      </rPr>
      <t xml:space="preserve">Xe khách </t>
    </r>
    <r>
      <rPr>
        <b/>
        <sz val="10"/>
        <color rgb="FFFF0000"/>
        <rFont val="&quot;Times New Roman&quot;, serif"/>
      </rPr>
      <t>X</t>
    </r>
  </si>
  <si>
    <t>CÔNG TY CỔ PHẦN WE CARE GROUP</t>
  </si>
  <si>
    <t>LỆNH ĐI ĐƯỜNG</t>
  </si>
  <si>
    <t>Cấp cho Ông (Bà) : Hà Bông</t>
  </si>
  <si>
    <t xml:space="preserve">            Chức vụ : Trưởng nhóm kinh doanh bán lẻ</t>
  </si>
  <si>
    <t>Thuộc bộ phận :Phòng Phát triển Kinh doanh</t>
  </si>
  <si>
    <t>Cấp cho Ông (Bà) : La Hoài Phương</t>
  </si>
  <si>
    <t xml:space="preserve">               Chức vụ : Giám sát vùng Kinh doanh bán lẻ</t>
  </si>
  <si>
    <t>Được cử đến công tác tại : Miền Nam</t>
  </si>
  <si>
    <t>Thời gian công tác : Từ ngày 30/06/2025 đến ngày 21/07/2025</t>
  </si>
  <si>
    <t>Nội dung: Đi công tác tại Miền Nam</t>
  </si>
  <si>
    <t>Phương tiện : Xe khách</t>
  </si>
  <si>
    <t>Bình Định, ngày ___ tháng ___ năm 2025</t>
  </si>
  <si>
    <t>Thủ trưởng đơn vị</t>
  </si>
  <si>
    <t>(Ký và đóng dấu)</t>
  </si>
  <si>
    <t>Nơi đi &amp; nơi đến</t>
  </si>
  <si>
    <t>Ngày</t>
  </si>
  <si>
    <t>Phương tiện</t>
  </si>
  <si>
    <t>Cự ly (Km)</t>
  </si>
  <si>
    <t>Thời gian lưu trú</t>
  </si>
  <si>
    <t>Lý do lưu trú</t>
  </si>
  <si>
    <t>Xác nhận nơi cư trú ( đóng dấu)</t>
  </si>
  <si>
    <t>Trên đường đi</t>
  </si>
  <si>
    <t>Ở nơi đến</t>
  </si>
  <si>
    <t>A</t>
  </si>
  <si>
    <t>B</t>
  </si>
  <si>
    <t>C</t>
  </si>
  <si>
    <t>D</t>
  </si>
  <si>
    <t>Nơi đi : Bình Định</t>
  </si>
  <si>
    <t>Xe khách</t>
  </si>
  <si>
    <t>Nơi đến : Miền Nam</t>
  </si>
  <si>
    <t>Nơi đi : Miền Nam</t>
  </si>
  <si>
    <t>Nơi đến :Bình Định</t>
  </si>
  <si>
    <t>Nơi đi :_____________</t>
  </si>
  <si>
    <t>Nơi đến : ___________</t>
  </si>
  <si>
    <t>NV01022</t>
  </si>
  <si>
    <t>Phòng Phát triển Kinh doanh</t>
  </si>
  <si>
    <t>Các tỉnh Miền Trung</t>
  </si>
  <si>
    <t>Đi công tác tại các tỉnh Miền Trung</t>
  </si>
  <si>
    <t>Từ ngày 12/09/2025</t>
  </si>
  <si>
    <t>Đến ngày 16/09/2025</t>
  </si>
  <si>
    <r>
      <rPr>
        <sz val="15"/>
        <color rgb="FF000000"/>
        <rFont val="&quot;Times New Roman&quot;, serif"/>
      </rPr>
      <t xml:space="preserve">Xe khách </t>
    </r>
    <r>
      <rPr>
        <b/>
        <sz val="15"/>
        <color rgb="FFFF0000"/>
        <rFont val="&quot;Times New Roman&quot;, serif"/>
      </rPr>
      <t>X</t>
    </r>
  </si>
  <si>
    <t>Đi công tác tại Hồ Chí Minh</t>
  </si>
  <si>
    <t>Từ ngày 17/09/2025</t>
  </si>
  <si>
    <r>
      <rPr>
        <sz val="15"/>
        <color rgb="FF000000"/>
        <rFont val="&quot;Times New Roman&quot;, serif"/>
      </rPr>
      <t xml:space="preserve">Xe khách </t>
    </r>
    <r>
      <rPr>
        <b/>
        <sz val="15"/>
        <color rgb="FFFF0000"/>
        <rFont val="&quot;Times New Roman&quot;, serif"/>
      </rPr>
      <t>X</t>
    </r>
  </si>
  <si>
    <t xml:space="preserve">Cấp cho Ông (Bà) : Huỳnh Minh Trung </t>
  </si>
  <si>
    <t xml:space="preserve"> Chức vụ : Trưởng nhóm kinh doanh Online</t>
  </si>
  <si>
    <t>Được cử đến công tác tại : Quảng Ngãi</t>
  </si>
  <si>
    <t>Thời gian công tác : Từ ngày 01/07/2025 đến ngày 04/07/2025</t>
  </si>
  <si>
    <t>Nội dung: Đi công tác tại Quảng Ngãi</t>
  </si>
  <si>
    <t>Nơi đến : Quảng Ngãi</t>
  </si>
  <si>
    <t>Nơi đi : Quảng Ngãi</t>
  </si>
  <si>
    <t>Trưởng nhóm kinh doanh Online</t>
  </si>
  <si>
    <t>Thanh toán chi phí ăn uống họp Team Quảng Ngãi ngày 02/07/2025</t>
  </si>
  <si>
    <t>Trần Quang Thuận</t>
  </si>
  <si>
    <t>Trưởng nhóm khu vực kho</t>
  </si>
  <si>
    <t>Khánh Hòa</t>
  </si>
  <si>
    <t>10/6-14/6/2025</t>
  </si>
  <si>
    <t>số 34</t>
  </si>
  <si>
    <t>Thanh toán tiền phòng khách sạn Lạc Hồng : 4 đêm (10/06/2025-14/06/2025</t>
  </si>
  <si>
    <t>số 1672259</t>
  </si>
  <si>
    <t>Thanh toán tiền vé tàu lửa Ninh Hòa - Diêu trì (10/06/2025)</t>
  </si>
  <si>
    <t>số 1736973</t>
  </si>
  <si>
    <t>Thanh toán tiền vé xe tàu lửa Diêu Trì- Ninh Thuận (14/06/2025)</t>
  </si>
  <si>
    <t>CHI PHÍ CÔNG TÁC (HÀ BÔNG)
MIỀN NAM</t>
  </si>
  <si>
    <t>Không VAT</t>
  </si>
  <si>
    <t>Có VAT</t>
  </si>
  <si>
    <t>Nội dung</t>
  </si>
  <si>
    <t>Số tiền</t>
  </si>
  <si>
    <t>Ghi chú</t>
  </si>
  <si>
    <t>Số hóa đơn</t>
  </si>
  <si>
    <t xml:space="preserve">Tiền ăn </t>
  </si>
  <si>
    <t>Họp Team Sài gòn</t>
  </si>
  <si>
    <t>Vé đi từ Quy Nhơn - Hồ Chí Minh</t>
  </si>
  <si>
    <t>Tiền nước</t>
  </si>
  <si>
    <t>Họp Team Long An</t>
  </si>
  <si>
    <t>00000112</t>
  </si>
  <si>
    <t>Phòng nghỉ (1 đêm)</t>
  </si>
  <si>
    <t>Ở ngày 1-2-3/7/2025</t>
  </si>
  <si>
    <t>Tiền photo</t>
  </si>
  <si>
    <t>00000113</t>
  </si>
  <si>
    <t>Tiền thuê xe</t>
  </si>
  <si>
    <t>00000052</t>
  </si>
  <si>
    <t>Phòng nghỉ (3 đêm)</t>
  </si>
  <si>
    <t>4-5-6/7/2025</t>
  </si>
  <si>
    <t>Tiền ăn uống họp Team</t>
  </si>
  <si>
    <t>00000142</t>
  </si>
  <si>
    <t>Phòng nghỉ (07/07 - 11/07)</t>
  </si>
  <si>
    <t>00000055</t>
  </si>
  <si>
    <t>12, 13, 14/7</t>
  </si>
  <si>
    <t>00000056</t>
  </si>
  <si>
    <t>phòng nghỉ (2 đêm)</t>
  </si>
  <si>
    <t>15, 16/7/2025</t>
  </si>
  <si>
    <t>00001626</t>
  </si>
  <si>
    <t>00000212</t>
  </si>
  <si>
    <t>Tiền nhà nghỉ</t>
  </si>
  <si>
    <t>00000062</t>
  </si>
  <si>
    <t>18/7 (Anh Bông + Anh Phương)</t>
  </si>
  <si>
    <t>TỔNG</t>
  </si>
  <si>
    <t>TỔNG 2 CHI PHÍ CÓ HÓA ĐƠN/KHÔNG HÓA ĐƠN</t>
  </si>
  <si>
    <t xml:space="preserve">CHI PHÍ CÔNG TÁC (HÀ BÔNG)
MIỀN NAM </t>
  </si>
  <si>
    <t>TRANING SALE ONLINE TẠI VĂN PHÒNG HỒ CHÍ MINH</t>
  </si>
  <si>
    <t>(Thời gian từ 16/09 - 19/09/2025)</t>
  </si>
  <si>
    <t>Lịch trình Traning</t>
  </si>
  <si>
    <t>Nhân sự Traning</t>
  </si>
  <si>
    <t>Traning Văn hóa doanh nghiệp</t>
  </si>
  <si>
    <t>HR</t>
  </si>
  <si>
    <t>16/09 - 19/09/2025</t>
  </si>
  <si>
    <t>Traning Sale về các Task công việc: Lên đơn, tiến độ, đổi trả , công nợ, chất lượng, thiếu đủ,chăm sóc khách hàng,......</t>
  </si>
  <si>
    <t>Mỹ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</si>
</sst>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_(* #,##0_);_(* \(#,##0\);_(* &quot;-&quot;??_);_(@_)"/>
    <numFmt numFmtId="166" formatCode="d/m/yyyy"/>
    <numFmt numFmtId="167" formatCode="d/m"/>
    <numFmt numFmtId="168" formatCode="dd/mm"/>
  </numFmts>
  <fonts count="46">
    <font>
      <sz val="10"/>
      <color rgb="FF000000"/>
      <name val="Arial"/>
      <scheme val="minor"/>
    </font>
    <font>
      <b/>
      <sz val="20"/>
      <color rgb="FF000000"/>
      <name val="Times"/>
    </font>
    <font>
      <sz val="13"/>
      <color rgb="FF000000"/>
      <name val="Times"/>
    </font>
    <font>
      <sz val="13"/>
      <color theme="1"/>
      <name val="Times"/>
    </font>
    <font>
      <sz val="10"/>
      <name val="Arial"/>
    </font>
    <font>
      <sz val="10"/>
      <color rgb="FF000000"/>
      <name val="Times"/>
    </font>
    <font>
      <b/>
      <sz val="18"/>
      <color rgb="FF000000"/>
      <name val="Times New Roman"/>
    </font>
    <font>
      <sz val="10"/>
      <color rgb="FF000000"/>
      <name val="Times New Roman"/>
    </font>
    <font>
      <sz val="10"/>
      <color theme="1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Arial"/>
    </font>
    <font>
      <b/>
      <sz val="18"/>
      <color rgb="FF000000"/>
      <name val="Times"/>
    </font>
    <font>
      <sz val="10"/>
      <color theme="1"/>
      <name val="Times"/>
    </font>
    <font>
      <sz val="12"/>
      <color rgb="FF000000"/>
      <name val="Times"/>
    </font>
    <font>
      <b/>
      <sz val="12"/>
      <color rgb="FF000000"/>
      <name val="Times"/>
    </font>
    <font>
      <sz val="12"/>
      <color theme="1"/>
      <name val="Times"/>
    </font>
    <font>
      <sz val="13"/>
      <color theme="1"/>
      <name val="Arial"/>
    </font>
    <font>
      <b/>
      <sz val="20"/>
      <color theme="1"/>
      <name val="Arial"/>
    </font>
    <font>
      <sz val="13"/>
      <color rgb="FF000000"/>
      <name val="Times New Roman"/>
    </font>
    <font>
      <sz val="13"/>
      <color rgb="FF000000"/>
      <name val="Arial"/>
    </font>
    <font>
      <sz val="13"/>
      <color rgb="FF000000"/>
      <name val="Noto Sans Symbols"/>
    </font>
    <font>
      <sz val="16"/>
      <color rgb="FF000000"/>
      <name val="Noto Sans Symbols"/>
    </font>
    <font>
      <b/>
      <sz val="20"/>
      <color rgb="FF000000"/>
      <name val="Arial"/>
    </font>
    <font>
      <i/>
      <sz val="13"/>
      <color rgb="FF000000"/>
      <name val="Times New Roman"/>
    </font>
    <font>
      <b/>
      <sz val="13"/>
      <color rgb="FF000000"/>
      <name val="Times New Roman"/>
    </font>
    <font>
      <i/>
      <sz val="10"/>
      <color rgb="FF000000"/>
      <name val="Times New Roman"/>
    </font>
    <font>
      <b/>
      <i/>
      <sz val="12"/>
      <color rgb="FF000000"/>
      <name val="Times New Roman"/>
    </font>
    <font>
      <sz val="14"/>
      <color rgb="FF000000"/>
      <name val="Times New Roman"/>
    </font>
    <font>
      <sz val="15"/>
      <color theme="1"/>
      <name val="Arial"/>
    </font>
    <font>
      <b/>
      <sz val="25"/>
      <color theme="1"/>
      <name val="Arial"/>
    </font>
    <font>
      <sz val="15"/>
      <color rgb="FF000000"/>
      <name val="Times New Roman"/>
    </font>
    <font>
      <sz val="15"/>
      <color rgb="FF000000"/>
      <name val="Arial"/>
    </font>
    <font>
      <sz val="15"/>
      <color rgb="FF000000"/>
      <name val="Noto Sans Symbols"/>
    </font>
    <font>
      <b/>
      <sz val="20"/>
      <color rgb="FFFF0000"/>
      <name val="Times New Roman"/>
    </font>
    <font>
      <sz val="15"/>
      <color theme="1"/>
      <name val="Times New Roman"/>
    </font>
    <font>
      <sz val="15"/>
      <color rgb="FFFFFFFF"/>
      <name val="Times New Roman"/>
    </font>
    <font>
      <sz val="15"/>
      <color rgb="FFFF0000"/>
      <name val="Times New Roman"/>
    </font>
    <font>
      <b/>
      <sz val="15"/>
      <color rgb="FFFF0000"/>
      <name val="Times New Roman"/>
    </font>
    <font>
      <b/>
      <i/>
      <sz val="15"/>
      <color theme="1"/>
      <name val="Times New Roman"/>
    </font>
    <font>
      <sz val="13"/>
      <color rgb="FF000000"/>
      <name val="&quot;Times New Roman&quot;, serif"/>
    </font>
    <font>
      <b/>
      <sz val="13"/>
      <color rgb="FFFF0000"/>
      <name val="&quot;Times New Roman&quot;, serif"/>
    </font>
    <font>
      <sz val="10"/>
      <color rgb="FF000000"/>
      <name val="&quot;Times New Roman&quot;, serif"/>
    </font>
    <font>
      <b/>
      <sz val="10"/>
      <color rgb="FFFF0000"/>
      <name val="&quot;Times New Roman&quot;, serif"/>
    </font>
    <font>
      <sz val="15"/>
      <color rgb="FF000000"/>
      <name val="&quot;Times New Roman&quot;, serif"/>
    </font>
    <font>
      <b/>
      <sz val="15"/>
      <color rgb="FFFF0000"/>
      <name val="&quot;Times New Roman&quot;, 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vertical="center" wrapText="1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164" fontId="9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9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0" fontId="14" fillId="0" borderId="17" xfId="0" applyFont="1" applyBorder="1" applyAlignment="1">
      <alignment vertical="center" wrapText="1"/>
    </xf>
    <xf numFmtId="164" fontId="14" fillId="0" borderId="18" xfId="0" applyNumberFormat="1" applyFont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165" fontId="14" fillId="0" borderId="18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3" fontId="15" fillId="0" borderId="1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4" fontId="14" fillId="0" borderId="0" xfId="0" applyNumberFormat="1" applyFont="1" applyAlignment="1">
      <alignment vertical="center" wrapText="1"/>
    </xf>
    <xf numFmtId="164" fontId="13" fillId="0" borderId="0" xfId="0" applyNumberFormat="1" applyFont="1" applyAlignment="1">
      <alignment vertical="center" wrapText="1"/>
    </xf>
    <xf numFmtId="165" fontId="16" fillId="0" borderId="0" xfId="0" applyNumberFormat="1" applyFont="1" applyAlignment="1">
      <alignment vertical="center" wrapText="1"/>
    </xf>
    <xf numFmtId="164" fontId="5" fillId="0" borderId="0" xfId="0" applyNumberFormat="1" applyFont="1"/>
    <xf numFmtId="165" fontId="14" fillId="0" borderId="0" xfId="0" applyNumberFormat="1" applyFont="1"/>
    <xf numFmtId="0" fontId="10" fillId="0" borderId="1" xfId="0" applyFont="1" applyBorder="1" applyAlignment="1">
      <alignment horizontal="left" vertical="center" wrapText="1"/>
    </xf>
    <xf numFmtId="164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9" fillId="0" borderId="0" xfId="0" applyFont="1"/>
    <xf numFmtId="0" fontId="11" fillId="0" borderId="0" xfId="0" applyFont="1"/>
    <xf numFmtId="0" fontId="19" fillId="0" borderId="0" xfId="0" applyFont="1" applyAlignment="1">
      <alignment horizontal="left"/>
    </xf>
    <xf numFmtId="0" fontId="27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28" fillId="0" borderId="17" xfId="0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29" fillId="0" borderId="0" xfId="0" applyFont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9" fillId="0" borderId="17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center" vertical="center"/>
    </xf>
    <xf numFmtId="3" fontId="9" fillId="0" borderId="23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6" fillId="5" borderId="1" xfId="0" applyFont="1" applyFill="1" applyBorder="1" applyAlignment="1">
      <alignment horizontal="center" vertical="center"/>
    </xf>
    <xf numFmtId="3" fontId="36" fillId="5" borderId="1" xfId="0" applyNumberFormat="1" applyFont="1" applyFill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 wrapText="1"/>
    </xf>
    <xf numFmtId="167" fontId="35" fillId="0" borderId="1" xfId="0" applyNumberFormat="1" applyFont="1" applyBorder="1" applyAlignment="1">
      <alignment horizontal="center" vertical="center"/>
    </xf>
    <xf numFmtId="168" fontId="35" fillId="0" borderId="1" xfId="0" applyNumberFormat="1" applyFont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167" fontId="37" fillId="0" borderId="1" xfId="0" applyNumberFormat="1" applyFont="1" applyBorder="1" applyAlignment="1">
      <alignment horizontal="center" vertical="center" wrapText="1"/>
    </xf>
    <xf numFmtId="3" fontId="36" fillId="5" borderId="1" xfId="0" applyNumberFormat="1" applyFont="1" applyFill="1" applyBorder="1" applyAlignment="1">
      <alignment horizontal="center"/>
    </xf>
    <xf numFmtId="3" fontId="36" fillId="5" borderId="13" xfId="0" applyNumberFormat="1" applyFont="1" applyFill="1" applyBorder="1" applyAlignment="1">
      <alignment horizontal="center" wrapText="1"/>
    </xf>
    <xf numFmtId="0" fontId="35" fillId="0" borderId="0" xfId="0" applyFont="1" applyAlignment="1">
      <alignment horizontal="center"/>
    </xf>
    <xf numFmtId="3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 wrapText="1"/>
    </xf>
    <xf numFmtId="3" fontId="38" fillId="4" borderId="13" xfId="0" applyNumberFormat="1" applyFont="1" applyFill="1" applyBorder="1" applyAlignment="1">
      <alignment horizontal="center"/>
    </xf>
    <xf numFmtId="0" fontId="35" fillId="0" borderId="0" xfId="0" applyFont="1"/>
    <xf numFmtId="0" fontId="36" fillId="5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3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3" fontId="2" fillId="0" borderId="7" xfId="0" applyNumberFormat="1" applyFont="1" applyBorder="1" applyAlignment="1">
      <alignment horizontal="right" vertical="center" wrapText="1"/>
    </xf>
    <xf numFmtId="0" fontId="4" fillId="0" borderId="8" xfId="0" applyFont="1" applyBorder="1"/>
    <xf numFmtId="0" fontId="4" fillId="0" borderId="9" xfId="0" applyFont="1" applyBorder="1"/>
    <xf numFmtId="0" fontId="2" fillId="0" borderId="2" xfId="0" quotePrefix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4" xfId="0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4" fillId="0" borderId="15" xfId="0" applyFont="1" applyBorder="1"/>
    <xf numFmtId="0" fontId="10" fillId="0" borderId="20" xfId="0" applyFont="1" applyBorder="1" applyAlignment="1">
      <alignment horizontal="center" vertical="center" wrapText="1"/>
    </xf>
    <xf numFmtId="0" fontId="4" fillId="0" borderId="21" xfId="0" applyFont="1" applyBorder="1"/>
    <xf numFmtId="0" fontId="14" fillId="0" borderId="0" xfId="0" applyFont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4" fillId="0" borderId="18" xfId="0" applyFont="1" applyBorder="1"/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4" fillId="0" borderId="20" xfId="0" applyFont="1" applyBorder="1"/>
    <xf numFmtId="0" fontId="19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4" fillId="0" borderId="19" xfId="0" applyFont="1" applyBorder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0" fillId="0" borderId="23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/>
    </xf>
    <xf numFmtId="0" fontId="4" fillId="0" borderId="17" xfId="0" applyFont="1" applyBorder="1"/>
    <xf numFmtId="164" fontId="9" fillId="0" borderId="17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4" borderId="10" xfId="0" applyFont="1" applyFill="1" applyBorder="1" applyAlignment="1">
      <alignment horizontal="center"/>
    </xf>
    <xf numFmtId="3" fontId="37" fillId="2" borderId="23" xfId="0" applyNumberFormat="1" applyFont="1" applyFill="1" applyBorder="1" applyAlignment="1">
      <alignment horizontal="center" vertical="center" wrapText="1"/>
    </xf>
    <xf numFmtId="0" fontId="36" fillId="5" borderId="10" xfId="0" applyFont="1" applyFill="1" applyBorder="1" applyAlignment="1">
      <alignment horizontal="center"/>
    </xf>
    <xf numFmtId="3" fontId="38" fillId="0" borderId="0" xfId="0" applyNumberFormat="1" applyFont="1" applyAlignment="1">
      <alignment horizontal="center" wrapText="1"/>
    </xf>
    <xf numFmtId="0" fontId="34" fillId="0" borderId="0" xfId="0" applyFont="1" applyAlignment="1">
      <alignment horizontal="center"/>
    </xf>
    <xf numFmtId="0" fontId="3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47625</xdr:rowOff>
    </xdr:from>
    <xdr:ext cx="904875" cy="7048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70485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0575" cy="74295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0575" cy="74295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7725" cy="7905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showGridLines="0" tabSelected="1" workbookViewId="0">
      <selection activeCell="G12" sqref="G12:I12"/>
    </sheetView>
  </sheetViews>
  <sheetFormatPr defaultColWidth="12.6640625" defaultRowHeight="15" customHeight="1"/>
  <cols>
    <col min="1" max="1" width="9.21875" customWidth="1"/>
    <col min="2" max="19" width="6.88671875" customWidth="1"/>
    <col min="20" max="20" width="0.6640625" customWidth="1"/>
    <col min="21" max="21" width="0.33203125" customWidth="1"/>
    <col min="22" max="22" width="6.88671875" customWidth="1"/>
    <col min="23" max="23" width="14.33203125" customWidth="1"/>
    <col min="24" max="26" width="6.88671875" hidden="1" customWidth="1"/>
  </cols>
  <sheetData>
    <row r="1" spans="1:26" ht="31.2" customHeight="1">
      <c r="A1" s="155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"/>
      <c r="Y1" s="1"/>
      <c r="Z1" s="2"/>
    </row>
    <row r="2" spans="1:26" ht="22.8" customHeight="1">
      <c r="A2" s="3"/>
      <c r="B2" s="3"/>
      <c r="C2" s="3"/>
      <c r="D2" s="3"/>
      <c r="E2" s="3"/>
      <c r="F2" s="3"/>
      <c r="G2" s="3"/>
      <c r="H2" s="157" t="s">
        <v>1</v>
      </c>
      <c r="I2" s="156"/>
      <c r="J2" s="156"/>
      <c r="K2" s="156"/>
      <c r="L2" s="156"/>
      <c r="M2" s="156"/>
      <c r="N2" s="156"/>
      <c r="O2" s="156"/>
      <c r="P2" s="156"/>
      <c r="Q2" s="3"/>
      <c r="R2" s="4"/>
      <c r="S2" s="158" t="s">
        <v>2</v>
      </c>
      <c r="T2" s="156"/>
      <c r="U2" s="156"/>
      <c r="V2" s="156"/>
      <c r="W2" s="156"/>
      <c r="X2" s="1"/>
      <c r="Y2" s="1"/>
      <c r="Z2" s="2"/>
    </row>
    <row r="3" spans="1:26" ht="15.75" customHeight="1">
      <c r="A3" s="157" t="s">
        <v>3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 t="s">
        <v>4</v>
      </c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"/>
      <c r="Y3" s="1"/>
      <c r="Z3" s="2"/>
    </row>
    <row r="4" spans="1:26" ht="15.75" customHeight="1">
      <c r="A4" s="5" t="s">
        <v>5</v>
      </c>
      <c r="B4" s="144" t="s">
        <v>6</v>
      </c>
      <c r="C4" s="145"/>
      <c r="D4" s="145"/>
      <c r="E4" s="145"/>
      <c r="F4" s="145"/>
      <c r="G4" s="146"/>
      <c r="H4" s="144" t="s">
        <v>7</v>
      </c>
      <c r="I4" s="146"/>
      <c r="J4" s="144" t="s">
        <v>8</v>
      </c>
      <c r="K4" s="146"/>
      <c r="L4" s="144" t="s">
        <v>9</v>
      </c>
      <c r="M4" s="146"/>
      <c r="N4" s="144" t="s">
        <v>10</v>
      </c>
      <c r="O4" s="145"/>
      <c r="P4" s="146"/>
      <c r="Q4" s="144" t="s">
        <v>11</v>
      </c>
      <c r="R4" s="145"/>
      <c r="S4" s="145"/>
      <c r="T4" s="145"/>
      <c r="U4" s="146"/>
      <c r="V4" s="144" t="s">
        <v>12</v>
      </c>
      <c r="W4" s="146"/>
      <c r="X4" s="6"/>
      <c r="Y4" s="6"/>
      <c r="Z4" s="7"/>
    </row>
    <row r="5" spans="1:26" ht="59.25" customHeight="1">
      <c r="A5" s="5" t="s">
        <v>13</v>
      </c>
      <c r="B5" s="144" t="s">
        <v>14</v>
      </c>
      <c r="C5" s="145"/>
      <c r="D5" s="146"/>
      <c r="E5" s="144" t="s">
        <v>15</v>
      </c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6"/>
      <c r="Q5" s="147" t="s">
        <v>16</v>
      </c>
      <c r="R5" s="148"/>
      <c r="S5" s="148"/>
      <c r="T5" s="148"/>
      <c r="U5" s="149"/>
      <c r="V5" s="144" t="s">
        <v>17</v>
      </c>
      <c r="W5" s="146"/>
      <c r="X5" s="6"/>
      <c r="Y5" s="6"/>
      <c r="Z5" s="7"/>
    </row>
    <row r="6" spans="1:26" ht="42" customHeight="1">
      <c r="A6" s="5">
        <v>1</v>
      </c>
      <c r="B6" s="144" t="s">
        <v>18</v>
      </c>
      <c r="C6" s="145"/>
      <c r="D6" s="146"/>
      <c r="E6" s="144" t="s">
        <v>19</v>
      </c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50">
        <v>11000000</v>
      </c>
      <c r="R6" s="151"/>
      <c r="S6" s="151"/>
      <c r="T6" s="151"/>
      <c r="U6" s="152"/>
      <c r="V6" s="153" t="s">
        <v>20</v>
      </c>
      <c r="W6" s="146"/>
      <c r="X6" s="6"/>
      <c r="Y6" s="6"/>
      <c r="Z6" s="7"/>
    </row>
    <row r="7" spans="1:26" ht="29.25" customHeight="1">
      <c r="A7" s="159" t="s">
        <v>21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6"/>
      <c r="Q7" s="154">
        <f>Q6</f>
        <v>11000000</v>
      </c>
      <c r="R7" s="145"/>
      <c r="S7" s="145"/>
      <c r="T7" s="145"/>
      <c r="U7" s="146"/>
      <c r="V7" s="144"/>
      <c r="W7" s="146"/>
      <c r="X7" s="6"/>
      <c r="Y7" s="6"/>
      <c r="Z7" s="7"/>
    </row>
    <row r="8" spans="1:26" ht="39.75" customHeight="1">
      <c r="A8" s="162" t="s">
        <v>22</v>
      </c>
      <c r="B8" s="146"/>
      <c r="C8" s="163" t="s">
        <v>23</v>
      </c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6"/>
      <c r="X8" s="6"/>
      <c r="Y8" s="6"/>
      <c r="Z8" s="7"/>
    </row>
    <row r="9" spans="1:26" ht="15.75" customHeight="1">
      <c r="A9" s="164" t="s">
        <v>24</v>
      </c>
      <c r="B9" s="145"/>
      <c r="C9" s="145"/>
      <c r="D9" s="146"/>
      <c r="E9" s="160" t="s">
        <v>25</v>
      </c>
      <c r="F9" s="146"/>
      <c r="G9" s="160"/>
      <c r="H9" s="145"/>
      <c r="I9" s="146"/>
      <c r="J9" s="160" t="s">
        <v>26</v>
      </c>
      <c r="K9" s="146"/>
      <c r="L9" s="165">
        <v>46085</v>
      </c>
      <c r="M9" s="145"/>
      <c r="N9" s="146"/>
      <c r="O9" s="160" t="s">
        <v>27</v>
      </c>
      <c r="P9" s="146"/>
      <c r="Q9" s="8"/>
      <c r="R9" s="161">
        <v>11000000</v>
      </c>
      <c r="S9" s="145"/>
      <c r="T9" s="145"/>
      <c r="U9" s="145"/>
      <c r="V9" s="145"/>
      <c r="W9" s="146"/>
      <c r="X9" s="6"/>
      <c r="Y9" s="6"/>
      <c r="Z9" s="7"/>
    </row>
    <row r="10" spans="1:26" ht="29.25" customHeight="1">
      <c r="A10" s="164" t="s">
        <v>28</v>
      </c>
      <c r="B10" s="145"/>
      <c r="C10" s="145"/>
      <c r="D10" s="145"/>
      <c r="E10" s="145"/>
      <c r="F10" s="146"/>
      <c r="G10" s="147" t="s">
        <v>29</v>
      </c>
      <c r="H10" s="148"/>
      <c r="I10" s="148"/>
      <c r="J10" s="148"/>
      <c r="K10" s="148"/>
      <c r="L10" s="148"/>
      <c r="M10" s="148"/>
      <c r="N10" s="148"/>
      <c r="O10" s="148"/>
      <c r="P10" s="149"/>
      <c r="Q10" s="9"/>
      <c r="R10" s="161">
        <v>0</v>
      </c>
      <c r="S10" s="145"/>
      <c r="T10" s="145"/>
      <c r="U10" s="145"/>
      <c r="V10" s="145"/>
      <c r="W10" s="146"/>
      <c r="X10" s="6"/>
      <c r="Y10" s="6"/>
      <c r="Z10" s="7"/>
    </row>
    <row r="11" spans="1:26" ht="29.25" customHeight="1">
      <c r="A11" s="164" t="s">
        <v>30</v>
      </c>
      <c r="B11" s="145"/>
      <c r="C11" s="145"/>
      <c r="D11" s="145"/>
      <c r="E11" s="145"/>
      <c r="F11" s="146"/>
      <c r="G11" s="160" t="s">
        <v>31</v>
      </c>
      <c r="H11" s="145"/>
      <c r="I11" s="145"/>
      <c r="J11" s="145"/>
      <c r="K11" s="169"/>
      <c r="L11" s="164" t="s">
        <v>32</v>
      </c>
      <c r="M11" s="145"/>
      <c r="N11" s="145"/>
      <c r="O11" s="145"/>
      <c r="P11" s="145"/>
      <c r="Q11" s="169"/>
      <c r="R11" s="8"/>
      <c r="S11" s="10"/>
      <c r="T11" s="10"/>
      <c r="U11" s="10"/>
      <c r="V11" s="10"/>
      <c r="W11" s="11"/>
      <c r="X11" s="6"/>
      <c r="Y11" s="6"/>
      <c r="Z11" s="7"/>
    </row>
    <row r="12" spans="1:26" ht="15.75" customHeight="1">
      <c r="A12" s="164" t="s">
        <v>33</v>
      </c>
      <c r="B12" s="146"/>
      <c r="C12" s="144"/>
      <c r="D12" s="145"/>
      <c r="E12" s="145"/>
      <c r="F12" s="146"/>
      <c r="G12" s="144" t="s">
        <v>34</v>
      </c>
      <c r="H12" s="145"/>
      <c r="I12" s="146"/>
      <c r="J12" s="144"/>
      <c r="K12" s="145"/>
      <c r="L12" s="145"/>
      <c r="M12" s="145"/>
      <c r="N12" s="145"/>
      <c r="O12" s="145"/>
      <c r="P12" s="146"/>
      <c r="Q12" s="144" t="s">
        <v>35</v>
      </c>
      <c r="R12" s="145"/>
      <c r="S12" s="145"/>
      <c r="T12" s="145"/>
      <c r="U12" s="146"/>
      <c r="V12" s="144"/>
      <c r="W12" s="146"/>
      <c r="X12" s="6"/>
      <c r="Y12" s="6"/>
      <c r="Z12" s="7"/>
    </row>
    <row r="13" spans="1:26" ht="15.75" customHeight="1">
      <c r="A13" s="166" t="s">
        <v>36</v>
      </c>
      <c r="B13" s="151"/>
      <c r="C13" s="151"/>
      <c r="D13" s="151"/>
      <c r="E13" s="166" t="s">
        <v>37</v>
      </c>
      <c r="F13" s="151"/>
      <c r="G13" s="151"/>
      <c r="H13" s="151"/>
      <c r="I13" s="151"/>
      <c r="J13" s="151"/>
      <c r="K13" s="166" t="s">
        <v>38</v>
      </c>
      <c r="L13" s="151"/>
      <c r="M13" s="151"/>
      <c r="N13" s="151"/>
      <c r="O13" s="151"/>
      <c r="P13" s="151"/>
      <c r="Q13" s="151"/>
      <c r="R13" s="166" t="s">
        <v>39</v>
      </c>
      <c r="S13" s="151"/>
      <c r="T13" s="151"/>
      <c r="U13" s="151"/>
      <c r="V13" s="151"/>
      <c r="W13" s="151"/>
      <c r="X13" s="6"/>
      <c r="Y13" s="6"/>
      <c r="Z13" s="7"/>
    </row>
    <row r="14" spans="1:26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"/>
      <c r="Y14" s="1"/>
      <c r="Z14" s="2"/>
    </row>
    <row r="15" spans="1:2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"/>
      <c r="Y15" s="1"/>
      <c r="Z15" s="2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"/>
      <c r="Y16" s="1"/>
      <c r="Z16" s="2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"/>
      <c r="Y17" s="1"/>
      <c r="Z17" s="2"/>
    </row>
    <row r="18" spans="1:26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/>
      <c r="Y18" s="1"/>
      <c r="Z18" s="2"/>
    </row>
    <row r="19" spans="1:26" ht="15.75" customHeight="1">
      <c r="A19" s="167" t="s">
        <v>40</v>
      </c>
      <c r="B19" s="168"/>
      <c r="C19" s="168"/>
      <c r="D19" s="168"/>
      <c r="E19" s="167" t="s">
        <v>41</v>
      </c>
      <c r="F19" s="168"/>
      <c r="G19" s="168"/>
      <c r="H19" s="168"/>
      <c r="I19" s="168"/>
      <c r="J19" s="168"/>
      <c r="K19" s="167" t="s">
        <v>42</v>
      </c>
      <c r="L19" s="168"/>
      <c r="M19" s="168"/>
      <c r="N19" s="168"/>
      <c r="O19" s="168"/>
      <c r="P19" s="168"/>
      <c r="Q19" s="168"/>
      <c r="R19" s="167" t="s">
        <v>43</v>
      </c>
      <c r="S19" s="168"/>
      <c r="T19" s="168"/>
      <c r="U19" s="168"/>
      <c r="V19" s="168"/>
      <c r="W19" s="168"/>
      <c r="X19" s="1"/>
      <c r="Y19" s="1"/>
      <c r="Z19" s="2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r="221" spans="1:26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2">
    <mergeCell ref="A10:F10"/>
    <mergeCell ref="G10:P10"/>
    <mergeCell ref="R10:W10"/>
    <mergeCell ref="A11:F11"/>
    <mergeCell ref="G11:K11"/>
    <mergeCell ref="L11:Q11"/>
    <mergeCell ref="K19:Q19"/>
    <mergeCell ref="R19:W19"/>
    <mergeCell ref="J12:P12"/>
    <mergeCell ref="Q12:U12"/>
    <mergeCell ref="K13:Q13"/>
    <mergeCell ref="R13:W13"/>
    <mergeCell ref="V12:W12"/>
    <mergeCell ref="C12:F12"/>
    <mergeCell ref="G12:I12"/>
    <mergeCell ref="A13:D13"/>
    <mergeCell ref="E13:J13"/>
    <mergeCell ref="A19:D19"/>
    <mergeCell ref="E19:J19"/>
    <mergeCell ref="A12:B12"/>
    <mergeCell ref="A7:P7"/>
    <mergeCell ref="O9:P9"/>
    <mergeCell ref="R9:W9"/>
    <mergeCell ref="A8:B8"/>
    <mergeCell ref="C8:W8"/>
    <mergeCell ref="A9:D9"/>
    <mergeCell ref="E9:F9"/>
    <mergeCell ref="G9:I9"/>
    <mergeCell ref="J9:K9"/>
    <mergeCell ref="L9:N9"/>
    <mergeCell ref="Q7:U7"/>
    <mergeCell ref="V7:W7"/>
    <mergeCell ref="A1:W1"/>
    <mergeCell ref="H2:P2"/>
    <mergeCell ref="S2:W2"/>
    <mergeCell ref="A3:K3"/>
    <mergeCell ref="L3:W3"/>
    <mergeCell ref="B4:G4"/>
    <mergeCell ref="H4:I4"/>
    <mergeCell ref="V4:W4"/>
    <mergeCell ref="J4:K4"/>
    <mergeCell ref="L4:M4"/>
    <mergeCell ref="B5:D5"/>
    <mergeCell ref="E5:P5"/>
    <mergeCell ref="B6:D6"/>
    <mergeCell ref="E6:P6"/>
    <mergeCell ref="N4:P4"/>
    <mergeCell ref="Q4:U4"/>
    <mergeCell ref="Q5:U5"/>
    <mergeCell ref="V5:W5"/>
    <mergeCell ref="Q6:U6"/>
    <mergeCell ref="V6:W6"/>
  </mergeCells>
  <printOptions horizontalCentered="1" gridLines="1"/>
  <pageMargins left="0.7" right="0.7" top="0.75" bottom="0.75" header="0" footer="0"/>
  <pageSetup paperSize="9" scale="57" fitToHeight="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47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50</v>
      </c>
      <c r="D4" s="145"/>
      <c r="E4" s="146"/>
      <c r="F4" s="175" t="s">
        <v>51</v>
      </c>
      <c r="G4" s="146"/>
      <c r="H4" s="174">
        <v>45908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53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8"/>
      <c r="B6" s="19"/>
      <c r="C6" s="20"/>
      <c r="D6" s="19"/>
      <c r="E6" s="19"/>
      <c r="F6" s="19"/>
      <c r="G6" s="19"/>
      <c r="H6" s="19"/>
      <c r="I6" s="19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21" t="s">
        <v>56</v>
      </c>
      <c r="B7" s="21" t="s">
        <v>57</v>
      </c>
      <c r="C7" s="21" t="s">
        <v>17</v>
      </c>
      <c r="D7" s="176" t="s">
        <v>58</v>
      </c>
      <c r="E7" s="146"/>
      <c r="F7" s="21" t="s">
        <v>59</v>
      </c>
      <c r="G7" s="21" t="s">
        <v>16</v>
      </c>
      <c r="H7" s="21" t="s">
        <v>60</v>
      </c>
      <c r="I7" s="21" t="s">
        <v>61</v>
      </c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55.5" customHeight="1">
      <c r="A8" s="21">
        <v>1</v>
      </c>
      <c r="B8" s="22">
        <v>45877</v>
      </c>
      <c r="C8" s="21"/>
      <c r="D8" s="173" t="s">
        <v>62</v>
      </c>
      <c r="E8" s="146"/>
      <c r="F8" s="21"/>
      <c r="G8" s="23">
        <v>78000</v>
      </c>
      <c r="H8" s="17"/>
      <c r="I8" s="23">
        <f t="shared" ref="I8:I20" si="0">G8</f>
        <v>78000</v>
      </c>
      <c r="J8" s="2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30" customHeight="1">
      <c r="A9" s="21">
        <v>2</v>
      </c>
      <c r="B9" s="21" t="s">
        <v>63</v>
      </c>
      <c r="C9" s="21"/>
      <c r="D9" s="177" t="s">
        <v>64</v>
      </c>
      <c r="E9" s="152"/>
      <c r="F9" s="21"/>
      <c r="G9" s="23">
        <v>493000</v>
      </c>
      <c r="H9" s="17"/>
      <c r="I9" s="23">
        <f t="shared" si="0"/>
        <v>493000</v>
      </c>
      <c r="J9" s="2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30" customHeight="1">
      <c r="A10" s="21">
        <v>3</v>
      </c>
      <c r="B10" s="21" t="s">
        <v>63</v>
      </c>
      <c r="C10" s="21"/>
      <c r="D10" s="177" t="s">
        <v>65</v>
      </c>
      <c r="E10" s="152"/>
      <c r="F10" s="21"/>
      <c r="G10" s="23">
        <f>22000+22000+22000+22000+25000</f>
        <v>113000</v>
      </c>
      <c r="H10" s="17"/>
      <c r="I10" s="23">
        <f t="shared" si="0"/>
        <v>113000</v>
      </c>
      <c r="J10" s="2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30" customHeight="1">
      <c r="A11" s="21">
        <v>4</v>
      </c>
      <c r="B11" s="22">
        <v>45882</v>
      </c>
      <c r="C11" s="21"/>
      <c r="D11" s="177" t="s">
        <v>66</v>
      </c>
      <c r="E11" s="152"/>
      <c r="F11" s="21"/>
      <c r="G11" s="23">
        <v>400000</v>
      </c>
      <c r="H11" s="17"/>
      <c r="I11" s="23">
        <f t="shared" si="0"/>
        <v>400000</v>
      </c>
      <c r="J11" s="2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30" customHeight="1">
      <c r="A12" s="21">
        <v>5</v>
      </c>
      <c r="B12" s="22">
        <v>45883</v>
      </c>
      <c r="C12" s="21"/>
      <c r="D12" s="173" t="s">
        <v>67</v>
      </c>
      <c r="E12" s="146"/>
      <c r="F12" s="21"/>
      <c r="G12" s="23">
        <v>900000</v>
      </c>
      <c r="H12" s="17"/>
      <c r="I12" s="23">
        <f t="shared" si="0"/>
        <v>900000</v>
      </c>
      <c r="J12" s="2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30" customHeight="1">
      <c r="A13" s="21">
        <v>6</v>
      </c>
      <c r="B13" s="22">
        <v>45883</v>
      </c>
      <c r="C13" s="21"/>
      <c r="D13" s="177" t="s">
        <v>68</v>
      </c>
      <c r="E13" s="152"/>
      <c r="F13" s="21"/>
      <c r="G13" s="23">
        <v>296000</v>
      </c>
      <c r="H13" s="17"/>
      <c r="I13" s="23">
        <f t="shared" si="0"/>
        <v>296000</v>
      </c>
      <c r="J13" s="2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48" customHeight="1">
      <c r="A14" s="21">
        <v>7</v>
      </c>
      <c r="B14" s="22">
        <v>45887</v>
      </c>
      <c r="C14" s="21"/>
      <c r="D14" s="173" t="s">
        <v>69</v>
      </c>
      <c r="E14" s="146"/>
      <c r="F14" s="21"/>
      <c r="G14" s="23">
        <v>156000</v>
      </c>
      <c r="H14" s="17"/>
      <c r="I14" s="23">
        <f t="shared" si="0"/>
        <v>156000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48" customHeight="1">
      <c r="A15" s="21">
        <v>8</v>
      </c>
      <c r="B15" s="22">
        <v>45895</v>
      </c>
      <c r="C15" s="21"/>
      <c r="D15" s="173" t="s">
        <v>70</v>
      </c>
      <c r="E15" s="146"/>
      <c r="F15" s="21"/>
      <c r="G15" s="23">
        <v>654000</v>
      </c>
      <c r="H15" s="17"/>
      <c r="I15" s="23">
        <f t="shared" si="0"/>
        <v>654000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21">
        <v>9</v>
      </c>
      <c r="B16" s="22">
        <v>45898</v>
      </c>
      <c r="C16" s="21"/>
      <c r="D16" s="173" t="s">
        <v>71</v>
      </c>
      <c r="E16" s="146"/>
      <c r="F16" s="21"/>
      <c r="G16" s="23">
        <v>824000</v>
      </c>
      <c r="H16" s="17"/>
      <c r="I16" s="23">
        <f t="shared" si="0"/>
        <v>824000</v>
      </c>
      <c r="J16" s="2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21">
        <v>11</v>
      </c>
      <c r="B17" s="22"/>
      <c r="C17" s="21"/>
      <c r="D17" s="173" t="s">
        <v>72</v>
      </c>
      <c r="E17" s="146"/>
      <c r="F17" s="21"/>
      <c r="G17" s="23">
        <v>558000</v>
      </c>
      <c r="H17" s="17"/>
      <c r="I17" s="23">
        <f t="shared" si="0"/>
        <v>558000</v>
      </c>
      <c r="J17" s="2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1">
        <v>12</v>
      </c>
      <c r="B18" s="22"/>
      <c r="C18" s="21"/>
      <c r="D18" s="173" t="s">
        <v>73</v>
      </c>
      <c r="E18" s="146"/>
      <c r="F18" s="21"/>
      <c r="G18" s="23">
        <v>450000</v>
      </c>
      <c r="H18" s="17"/>
      <c r="I18" s="23">
        <f t="shared" si="0"/>
        <v>450000</v>
      </c>
      <c r="J18" s="2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1">
        <v>13</v>
      </c>
      <c r="B19" s="25"/>
      <c r="C19" s="26"/>
      <c r="D19" s="179" t="s">
        <v>74</v>
      </c>
      <c r="E19" s="180"/>
      <c r="F19" s="26"/>
      <c r="G19" s="23">
        <v>450000</v>
      </c>
      <c r="H19" s="17"/>
      <c r="I19" s="23">
        <f t="shared" si="0"/>
        <v>450000</v>
      </c>
      <c r="J19" s="2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1">
        <v>14</v>
      </c>
      <c r="B20" s="25"/>
      <c r="C20" s="26"/>
      <c r="D20" s="179" t="s">
        <v>75</v>
      </c>
      <c r="E20" s="180"/>
      <c r="F20" s="26"/>
      <c r="G20" s="23">
        <v>284000</v>
      </c>
      <c r="H20" s="17"/>
      <c r="I20" s="23">
        <f t="shared" si="0"/>
        <v>284000</v>
      </c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81" t="s">
        <v>76</v>
      </c>
      <c r="B21" s="182"/>
      <c r="C21" s="182"/>
      <c r="D21" s="182"/>
      <c r="E21" s="182"/>
      <c r="F21" s="180"/>
      <c r="G21" s="27">
        <f>SUM(G8:G20)</f>
        <v>5656000</v>
      </c>
      <c r="H21" s="28"/>
      <c r="I21" s="27">
        <f>SUM(I8:I20)</f>
        <v>5656000</v>
      </c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78" t="s">
        <v>77</v>
      </c>
      <c r="B23" s="156"/>
      <c r="C23" s="178"/>
      <c r="D23" s="156"/>
      <c r="E23" s="178"/>
      <c r="F23" s="156"/>
      <c r="G23" s="178" t="s">
        <v>78</v>
      </c>
      <c r="H23" s="156"/>
      <c r="I23" s="156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29"/>
      <c r="B24" s="29"/>
      <c r="C24" s="29"/>
      <c r="D24" s="30"/>
      <c r="E24" s="29"/>
      <c r="F24" s="30"/>
      <c r="G24" s="29"/>
      <c r="H24" s="30"/>
      <c r="I24" s="30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29"/>
      <c r="B25" s="29"/>
      <c r="C25" s="29"/>
      <c r="D25" s="30"/>
      <c r="E25" s="29"/>
      <c r="F25" s="30"/>
      <c r="G25" s="29"/>
      <c r="H25" s="30"/>
      <c r="I25" s="30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31"/>
      <c r="B26" s="31"/>
      <c r="C26" s="29"/>
      <c r="D26" s="31"/>
      <c r="E26" s="31"/>
      <c r="F26" s="31"/>
      <c r="G26" s="31"/>
      <c r="H26" s="31"/>
      <c r="I26" s="31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31"/>
      <c r="B27" s="31"/>
      <c r="C27" s="29"/>
      <c r="D27" s="31"/>
      <c r="E27" s="31"/>
      <c r="F27" s="31"/>
      <c r="G27" s="31"/>
      <c r="H27" s="31"/>
      <c r="I27" s="31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78" t="s">
        <v>79</v>
      </c>
      <c r="B28" s="156"/>
      <c r="C28" s="178"/>
      <c r="D28" s="156"/>
      <c r="E28" s="178"/>
      <c r="F28" s="156"/>
      <c r="G28" s="178" t="s">
        <v>80</v>
      </c>
      <c r="H28" s="156"/>
      <c r="I28" s="156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G23:I23"/>
    <mergeCell ref="A28:B28"/>
    <mergeCell ref="C28:D28"/>
    <mergeCell ref="E28:F28"/>
    <mergeCell ref="G28:I28"/>
    <mergeCell ref="A23:B23"/>
    <mergeCell ref="D12:E12"/>
    <mergeCell ref="D13:E13"/>
    <mergeCell ref="D14:E14"/>
    <mergeCell ref="D15:E15"/>
    <mergeCell ref="C23:D23"/>
    <mergeCell ref="E23:F23"/>
    <mergeCell ref="D16:E16"/>
    <mergeCell ref="D17:E17"/>
    <mergeCell ref="D18:E18"/>
    <mergeCell ref="D19:E19"/>
    <mergeCell ref="D20:E20"/>
    <mergeCell ref="A21:F21"/>
    <mergeCell ref="D7:E7"/>
    <mergeCell ref="D8:E8"/>
    <mergeCell ref="D9:E9"/>
    <mergeCell ref="D10:E10"/>
    <mergeCell ref="D11:E11"/>
    <mergeCell ref="A4:B4"/>
    <mergeCell ref="H4:I4"/>
    <mergeCell ref="C4:E4"/>
    <mergeCell ref="F4:G4"/>
    <mergeCell ref="D5:E5"/>
    <mergeCell ref="F5:G5"/>
    <mergeCell ref="H5:I5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47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50</v>
      </c>
      <c r="D4" s="145"/>
      <c r="E4" s="146"/>
      <c r="F4" s="175" t="s">
        <v>51</v>
      </c>
      <c r="G4" s="146"/>
      <c r="H4" s="174">
        <v>45911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53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72" t="s">
        <v>46</v>
      </c>
      <c r="B6" s="146"/>
      <c r="C6" s="172" t="s">
        <v>81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172" t="s">
        <v>49</v>
      </c>
      <c r="B7" s="146"/>
      <c r="C7" s="172" t="s">
        <v>82</v>
      </c>
      <c r="D7" s="145"/>
      <c r="E7" s="146"/>
      <c r="F7" s="175" t="s">
        <v>51</v>
      </c>
      <c r="G7" s="146"/>
      <c r="H7" s="174">
        <v>45911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7" t="s">
        <v>52</v>
      </c>
      <c r="B8" s="17" t="s">
        <v>83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45911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72" t="s">
        <v>46</v>
      </c>
      <c r="B12" s="146"/>
      <c r="C12" s="172" t="s">
        <v>86</v>
      </c>
      <c r="D12" s="145"/>
      <c r="E12" s="146"/>
      <c r="F12" s="172" t="s">
        <v>14</v>
      </c>
      <c r="G12" s="146"/>
      <c r="H12" s="173" t="s">
        <v>48</v>
      </c>
      <c r="I12" s="146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172" t="s">
        <v>49</v>
      </c>
      <c r="B13" s="146"/>
      <c r="C13" s="172" t="s">
        <v>87</v>
      </c>
      <c r="D13" s="145"/>
      <c r="E13" s="146"/>
      <c r="F13" s="175" t="s">
        <v>51</v>
      </c>
      <c r="G13" s="146"/>
      <c r="H13" s="174">
        <v>45911</v>
      </c>
      <c r="I13" s="146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17" t="s">
        <v>52</v>
      </c>
      <c r="B14" s="17" t="s">
        <v>53</v>
      </c>
      <c r="C14" s="17" t="s">
        <v>7</v>
      </c>
      <c r="D14" s="172" t="s">
        <v>54</v>
      </c>
      <c r="E14" s="146"/>
      <c r="F14" s="172" t="s">
        <v>55</v>
      </c>
      <c r="G14" s="146"/>
      <c r="H14" s="173" t="s">
        <v>48</v>
      </c>
      <c r="I14" s="146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172" t="s">
        <v>46</v>
      </c>
      <c r="B15" s="146"/>
      <c r="C15" s="172" t="s">
        <v>88</v>
      </c>
      <c r="D15" s="145"/>
      <c r="E15" s="146"/>
      <c r="F15" s="172" t="s">
        <v>14</v>
      </c>
      <c r="G15" s="146"/>
      <c r="H15" s="173" t="s">
        <v>48</v>
      </c>
      <c r="I15" s="14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72" t="s">
        <v>49</v>
      </c>
      <c r="B16" s="146"/>
      <c r="C16" s="172" t="s">
        <v>89</v>
      </c>
      <c r="D16" s="145"/>
      <c r="E16" s="146"/>
      <c r="F16" s="175" t="s">
        <v>51</v>
      </c>
      <c r="G16" s="146"/>
      <c r="H16" s="174">
        <v>45911</v>
      </c>
      <c r="I16" s="14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17" t="s">
        <v>52</v>
      </c>
      <c r="B17" s="17" t="s">
        <v>53</v>
      </c>
      <c r="C17" s="17" t="s">
        <v>7</v>
      </c>
      <c r="D17" s="172" t="s">
        <v>54</v>
      </c>
      <c r="E17" s="146"/>
      <c r="F17" s="172" t="s">
        <v>55</v>
      </c>
      <c r="G17" s="146"/>
      <c r="H17" s="173" t="s">
        <v>48</v>
      </c>
      <c r="I17" s="146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72" t="s">
        <v>46</v>
      </c>
      <c r="B18" s="146"/>
      <c r="C18" s="172" t="s">
        <v>90</v>
      </c>
      <c r="D18" s="145"/>
      <c r="E18" s="146"/>
      <c r="F18" s="172" t="s">
        <v>14</v>
      </c>
      <c r="G18" s="146"/>
      <c r="H18" s="173" t="s">
        <v>48</v>
      </c>
      <c r="I18" s="146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72" t="s">
        <v>49</v>
      </c>
      <c r="B19" s="146"/>
      <c r="C19" s="172" t="s">
        <v>89</v>
      </c>
      <c r="D19" s="145"/>
      <c r="E19" s="146"/>
      <c r="F19" s="175" t="s">
        <v>51</v>
      </c>
      <c r="G19" s="146"/>
      <c r="H19" s="174">
        <v>45911</v>
      </c>
      <c r="I19" s="146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7" t="s">
        <v>52</v>
      </c>
      <c r="B20" s="17" t="s">
        <v>53</v>
      </c>
      <c r="C20" s="17" t="s">
        <v>7</v>
      </c>
      <c r="D20" s="172" t="s">
        <v>54</v>
      </c>
      <c r="E20" s="146"/>
      <c r="F20" s="172" t="s">
        <v>55</v>
      </c>
      <c r="G20" s="146"/>
      <c r="H20" s="173" t="s">
        <v>48</v>
      </c>
      <c r="I20" s="146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72" t="s">
        <v>46</v>
      </c>
      <c r="B21" s="146"/>
      <c r="C21" s="172" t="s">
        <v>79</v>
      </c>
      <c r="D21" s="145"/>
      <c r="E21" s="146"/>
      <c r="F21" s="172" t="s">
        <v>14</v>
      </c>
      <c r="G21" s="146"/>
      <c r="H21" s="173" t="s">
        <v>48</v>
      </c>
      <c r="I21" s="146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72" t="s">
        <v>49</v>
      </c>
      <c r="B22" s="146"/>
      <c r="C22" s="172" t="s">
        <v>91</v>
      </c>
      <c r="D22" s="145"/>
      <c r="E22" s="146"/>
      <c r="F22" s="175" t="s">
        <v>51</v>
      </c>
      <c r="G22" s="146"/>
      <c r="H22" s="174">
        <v>45911</v>
      </c>
      <c r="I22" s="146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7" t="s">
        <v>52</v>
      </c>
      <c r="B23" s="17" t="s">
        <v>53</v>
      </c>
      <c r="C23" s="17" t="s">
        <v>7</v>
      </c>
      <c r="D23" s="172" t="s">
        <v>54</v>
      </c>
      <c r="E23" s="146"/>
      <c r="F23" s="172" t="s">
        <v>55</v>
      </c>
      <c r="G23" s="146"/>
      <c r="H23" s="173" t="s">
        <v>48</v>
      </c>
      <c r="I23" s="146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72" t="s">
        <v>46</v>
      </c>
      <c r="B24" s="146"/>
      <c r="C24" s="172" t="s">
        <v>80</v>
      </c>
      <c r="D24" s="145"/>
      <c r="E24" s="146"/>
      <c r="F24" s="172" t="s">
        <v>14</v>
      </c>
      <c r="G24" s="146"/>
      <c r="H24" s="173" t="s">
        <v>48</v>
      </c>
      <c r="I24" s="146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72" t="s">
        <v>49</v>
      </c>
      <c r="B25" s="146"/>
      <c r="C25" s="172" t="s">
        <v>12</v>
      </c>
      <c r="D25" s="145"/>
      <c r="E25" s="146"/>
      <c r="F25" s="175" t="s">
        <v>51</v>
      </c>
      <c r="G25" s="146"/>
      <c r="H25" s="174">
        <v>45911</v>
      </c>
      <c r="I25" s="146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7" t="s">
        <v>52</v>
      </c>
      <c r="B26" s="17" t="s">
        <v>10</v>
      </c>
      <c r="C26" s="17" t="s">
        <v>7</v>
      </c>
      <c r="D26" s="172" t="s">
        <v>54</v>
      </c>
      <c r="E26" s="146"/>
      <c r="F26" s="172" t="s">
        <v>55</v>
      </c>
      <c r="G26" s="146"/>
      <c r="H26" s="173" t="s">
        <v>48</v>
      </c>
      <c r="I26" s="146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21" t="s">
        <v>56</v>
      </c>
      <c r="B27" s="21" t="s">
        <v>57</v>
      </c>
      <c r="C27" s="21" t="s">
        <v>17</v>
      </c>
      <c r="D27" s="176" t="s">
        <v>58</v>
      </c>
      <c r="E27" s="146"/>
      <c r="F27" s="21" t="s">
        <v>59</v>
      </c>
      <c r="G27" s="21" t="s">
        <v>16</v>
      </c>
      <c r="H27" s="21" t="s">
        <v>60</v>
      </c>
      <c r="I27" s="21" t="s">
        <v>61</v>
      </c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21">
        <v>1</v>
      </c>
      <c r="B28" s="25">
        <v>45884</v>
      </c>
      <c r="C28" s="32" t="s">
        <v>92</v>
      </c>
      <c r="D28" s="179" t="s">
        <v>93</v>
      </c>
      <c r="E28" s="180"/>
      <c r="F28" s="26"/>
      <c r="G28" s="23">
        <v>445500</v>
      </c>
      <c r="H28" s="17"/>
      <c r="I28" s="23">
        <f t="shared" ref="I28:I36" si="0">G28</f>
        <v>445500</v>
      </c>
      <c r="J28" s="2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21">
        <v>2</v>
      </c>
      <c r="B29" s="25">
        <v>45884</v>
      </c>
      <c r="C29" s="32" t="s">
        <v>94</v>
      </c>
      <c r="D29" s="179" t="s">
        <v>95</v>
      </c>
      <c r="E29" s="180"/>
      <c r="F29" s="26"/>
      <c r="G29" s="23">
        <v>1485000</v>
      </c>
      <c r="H29" s="17"/>
      <c r="I29" s="23">
        <f t="shared" si="0"/>
        <v>1485000</v>
      </c>
      <c r="J29" s="2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21">
        <v>3</v>
      </c>
      <c r="B30" s="22">
        <v>45885</v>
      </c>
      <c r="C30" s="21">
        <v>1690</v>
      </c>
      <c r="D30" s="173" t="s">
        <v>96</v>
      </c>
      <c r="E30" s="146"/>
      <c r="F30" s="21"/>
      <c r="G30" s="23">
        <v>400000</v>
      </c>
      <c r="H30" s="17"/>
      <c r="I30" s="23">
        <f t="shared" si="0"/>
        <v>400000</v>
      </c>
      <c r="J30" s="2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55.5" customHeight="1">
      <c r="A31" s="21">
        <v>4</v>
      </c>
      <c r="B31" s="25">
        <v>45893</v>
      </c>
      <c r="C31" s="32" t="s">
        <v>97</v>
      </c>
      <c r="D31" s="179" t="s">
        <v>98</v>
      </c>
      <c r="E31" s="180"/>
      <c r="F31" s="26"/>
      <c r="G31" s="23">
        <v>3168000</v>
      </c>
      <c r="H31" s="17"/>
      <c r="I31" s="23">
        <f t="shared" si="0"/>
        <v>3168000</v>
      </c>
      <c r="J31" s="2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55.5" customHeight="1">
      <c r="A32" s="21">
        <v>5</v>
      </c>
      <c r="B32" s="25">
        <v>45893</v>
      </c>
      <c r="C32" s="32" t="s">
        <v>99</v>
      </c>
      <c r="D32" s="173" t="s">
        <v>100</v>
      </c>
      <c r="E32" s="146"/>
      <c r="F32" s="26"/>
      <c r="G32" s="23">
        <v>3168000</v>
      </c>
      <c r="H32" s="17"/>
      <c r="I32" s="23">
        <f t="shared" si="0"/>
        <v>3168000</v>
      </c>
      <c r="J32" s="2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21">
        <v>6</v>
      </c>
      <c r="B33" s="25">
        <v>45902</v>
      </c>
      <c r="C33" s="26">
        <v>97</v>
      </c>
      <c r="D33" s="179" t="s">
        <v>101</v>
      </c>
      <c r="E33" s="180"/>
      <c r="F33" s="26"/>
      <c r="G33" s="23">
        <f>900000*1.08</f>
        <v>972000.00000000012</v>
      </c>
      <c r="H33" s="23"/>
      <c r="I33" s="23">
        <f t="shared" si="0"/>
        <v>972000.00000000012</v>
      </c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21">
        <v>7</v>
      </c>
      <c r="B34" s="25">
        <v>45902</v>
      </c>
      <c r="C34" s="26">
        <v>97</v>
      </c>
      <c r="D34" s="179" t="s">
        <v>102</v>
      </c>
      <c r="E34" s="180"/>
      <c r="F34" s="26"/>
      <c r="G34" s="23">
        <f>700000*1.08</f>
        <v>756000</v>
      </c>
      <c r="H34" s="23"/>
      <c r="I34" s="23">
        <f t="shared" si="0"/>
        <v>756000</v>
      </c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21">
        <v>8</v>
      </c>
      <c r="B35" s="25">
        <v>45902</v>
      </c>
      <c r="C35" s="26">
        <v>97</v>
      </c>
      <c r="D35" s="179" t="s">
        <v>103</v>
      </c>
      <c r="E35" s="180"/>
      <c r="F35" s="26"/>
      <c r="G35" s="23">
        <f>900000*1.08</f>
        <v>972000.00000000012</v>
      </c>
      <c r="H35" s="23"/>
      <c r="I35" s="23">
        <f t="shared" si="0"/>
        <v>972000.00000000012</v>
      </c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21">
        <v>9</v>
      </c>
      <c r="B36" s="25">
        <v>45902</v>
      </c>
      <c r="C36" s="26">
        <v>97</v>
      </c>
      <c r="D36" s="179" t="s">
        <v>104</v>
      </c>
      <c r="E36" s="180"/>
      <c r="F36" s="26"/>
      <c r="G36" s="23">
        <f>450000*1.08</f>
        <v>486000.00000000006</v>
      </c>
      <c r="H36" s="23"/>
      <c r="I36" s="23">
        <f t="shared" si="0"/>
        <v>486000.00000000006</v>
      </c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81" t="s">
        <v>76</v>
      </c>
      <c r="B37" s="182"/>
      <c r="C37" s="182"/>
      <c r="D37" s="182"/>
      <c r="E37" s="182"/>
      <c r="F37" s="180"/>
      <c r="G37" s="27">
        <f>SUM(G28:G36)</f>
        <v>11852500</v>
      </c>
      <c r="H37" s="28"/>
      <c r="I37" s="27">
        <f>SUM(I28:I36)</f>
        <v>11852500</v>
      </c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73" t="s">
        <v>105</v>
      </c>
      <c r="B38" s="145"/>
      <c r="C38" s="145"/>
      <c r="D38" s="145"/>
      <c r="E38" s="145"/>
      <c r="F38" s="145"/>
      <c r="G38" s="145"/>
      <c r="H38" s="145"/>
      <c r="I38" s="146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78" t="s">
        <v>77</v>
      </c>
      <c r="B40" s="156"/>
      <c r="C40" s="178"/>
      <c r="D40" s="156"/>
      <c r="E40" s="178"/>
      <c r="F40" s="156"/>
      <c r="G40" s="178" t="s">
        <v>78</v>
      </c>
      <c r="H40" s="156"/>
      <c r="I40" s="156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29"/>
      <c r="B41" s="29"/>
      <c r="C41" s="29"/>
      <c r="D41" s="30"/>
      <c r="E41" s="29"/>
      <c r="F41" s="30"/>
      <c r="G41" s="29"/>
      <c r="H41" s="30"/>
      <c r="I41" s="30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29"/>
      <c r="B42" s="29"/>
      <c r="C42" s="29"/>
      <c r="D42" s="30"/>
      <c r="E42" s="29"/>
      <c r="F42" s="30"/>
      <c r="G42" s="29"/>
      <c r="H42" s="30"/>
      <c r="I42" s="30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31"/>
      <c r="B43" s="31"/>
      <c r="C43" s="29"/>
      <c r="D43" s="31"/>
      <c r="E43" s="31"/>
      <c r="F43" s="31"/>
      <c r="G43" s="31"/>
      <c r="H43" s="31"/>
      <c r="I43" s="31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31"/>
      <c r="B44" s="31"/>
      <c r="C44" s="29"/>
      <c r="D44" s="31"/>
      <c r="E44" s="31"/>
      <c r="F44" s="31"/>
      <c r="G44" s="31"/>
      <c r="H44" s="31"/>
      <c r="I44" s="31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78" t="s">
        <v>79</v>
      </c>
      <c r="B45" s="156"/>
      <c r="C45" s="178"/>
      <c r="D45" s="156"/>
      <c r="E45" s="178"/>
      <c r="F45" s="156"/>
      <c r="G45" s="178" t="s">
        <v>80</v>
      </c>
      <c r="H45" s="156"/>
      <c r="I45" s="156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5.75" customHeight="1"/>
    <row r="247" spans="1:25" ht="15.75" customHeight="1"/>
    <row r="248" spans="1:25" ht="15.75" customHeight="1"/>
    <row r="249" spans="1:25" ht="15.75" customHeight="1"/>
    <row r="250" spans="1:25" ht="15.75" customHeight="1"/>
    <row r="251" spans="1:25" ht="15.75" customHeight="1"/>
    <row r="252" spans="1:25" ht="15.75" customHeight="1"/>
    <row r="253" spans="1:25" ht="15.75" customHeight="1"/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D29:E29"/>
    <mergeCell ref="D30:E30"/>
    <mergeCell ref="D31:E31"/>
    <mergeCell ref="D32:E32"/>
    <mergeCell ref="A15:B15"/>
    <mergeCell ref="A16:B16"/>
    <mergeCell ref="A18:B18"/>
    <mergeCell ref="A19:B19"/>
    <mergeCell ref="A21:B21"/>
    <mergeCell ref="A22:B22"/>
    <mergeCell ref="D26:E26"/>
    <mergeCell ref="D27:E27"/>
    <mergeCell ref="D28:E28"/>
    <mergeCell ref="A7:B7"/>
    <mergeCell ref="C7:E7"/>
    <mergeCell ref="F7:G7"/>
    <mergeCell ref="H7:I7"/>
    <mergeCell ref="D8:E8"/>
    <mergeCell ref="F8:G8"/>
    <mergeCell ref="H8:I8"/>
    <mergeCell ref="A9:B9"/>
    <mergeCell ref="C9:E9"/>
    <mergeCell ref="F9:G9"/>
    <mergeCell ref="H9:I9"/>
    <mergeCell ref="A1:I1"/>
    <mergeCell ref="H2:I2"/>
    <mergeCell ref="A3:B3"/>
    <mergeCell ref="C3:E3"/>
    <mergeCell ref="F3:G3"/>
    <mergeCell ref="H3:I3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C40:D40"/>
    <mergeCell ref="E40:F40"/>
    <mergeCell ref="A45:B45"/>
    <mergeCell ref="C45:D45"/>
    <mergeCell ref="E45:F45"/>
    <mergeCell ref="G45:I45"/>
    <mergeCell ref="D33:E33"/>
    <mergeCell ref="D34:E34"/>
    <mergeCell ref="D35:E35"/>
    <mergeCell ref="D36:E36"/>
    <mergeCell ref="A37:F37"/>
    <mergeCell ref="A38:I38"/>
    <mergeCell ref="A40:B40"/>
    <mergeCell ref="G40:I40"/>
    <mergeCell ref="C24:E24"/>
    <mergeCell ref="F24:G24"/>
    <mergeCell ref="H24:I24"/>
    <mergeCell ref="A24:B24"/>
    <mergeCell ref="A25:B25"/>
    <mergeCell ref="C25:E25"/>
    <mergeCell ref="F25:G25"/>
    <mergeCell ref="H25:I25"/>
    <mergeCell ref="F26:G26"/>
    <mergeCell ref="H26:I26"/>
    <mergeCell ref="F23:G23"/>
    <mergeCell ref="H23:I23"/>
    <mergeCell ref="C21:E21"/>
    <mergeCell ref="F21:G21"/>
    <mergeCell ref="H21:I21"/>
    <mergeCell ref="C22:E22"/>
    <mergeCell ref="F22:G22"/>
    <mergeCell ref="H22:I22"/>
    <mergeCell ref="D23:E23"/>
    <mergeCell ref="F20:G20"/>
    <mergeCell ref="H20:I20"/>
    <mergeCell ref="C18:E18"/>
    <mergeCell ref="F18:G18"/>
    <mergeCell ref="H18:I18"/>
    <mergeCell ref="C19:E19"/>
    <mergeCell ref="F19:G19"/>
    <mergeCell ref="H19:I19"/>
    <mergeCell ref="D20:E20"/>
    <mergeCell ref="D14:E14"/>
    <mergeCell ref="F14:G14"/>
    <mergeCell ref="H14:I14"/>
    <mergeCell ref="F17:G17"/>
    <mergeCell ref="H17:I17"/>
    <mergeCell ref="C15:E15"/>
    <mergeCell ref="F15:G15"/>
    <mergeCell ref="H15:I15"/>
    <mergeCell ref="C16:E16"/>
    <mergeCell ref="F16:G16"/>
    <mergeCell ref="H16:I16"/>
    <mergeCell ref="D17:E17"/>
    <mergeCell ref="C10:E10"/>
    <mergeCell ref="D11:E11"/>
    <mergeCell ref="F11:G11"/>
    <mergeCell ref="H11:I11"/>
    <mergeCell ref="C12:E12"/>
    <mergeCell ref="F12:G12"/>
    <mergeCell ref="H12:I12"/>
    <mergeCell ref="A12:B12"/>
    <mergeCell ref="C13:E13"/>
    <mergeCell ref="F13:G13"/>
    <mergeCell ref="H13:I13"/>
    <mergeCell ref="A10:B10"/>
    <mergeCell ref="F10:G10"/>
    <mergeCell ref="H10:I10"/>
    <mergeCell ref="A13:B1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47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50</v>
      </c>
      <c r="D4" s="145"/>
      <c r="E4" s="146"/>
      <c r="F4" s="175" t="s">
        <v>51</v>
      </c>
      <c r="G4" s="146"/>
      <c r="H4" s="174">
        <v>45911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53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21" t="s">
        <v>56</v>
      </c>
      <c r="B6" s="21" t="s">
        <v>57</v>
      </c>
      <c r="C6" s="21" t="s">
        <v>17</v>
      </c>
      <c r="D6" s="176" t="s">
        <v>58</v>
      </c>
      <c r="E6" s="146"/>
      <c r="F6" s="21" t="s">
        <v>59</v>
      </c>
      <c r="G6" s="21" t="s">
        <v>16</v>
      </c>
      <c r="H6" s="21" t="s">
        <v>60</v>
      </c>
      <c r="I6" s="21" t="s">
        <v>61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55.5" customHeight="1">
      <c r="A7" s="21">
        <v>1</v>
      </c>
      <c r="B7" s="25"/>
      <c r="C7" s="26"/>
      <c r="D7" s="179" t="s">
        <v>106</v>
      </c>
      <c r="E7" s="180"/>
      <c r="F7" s="26"/>
      <c r="G7" s="23">
        <v>3000000</v>
      </c>
      <c r="H7" s="17"/>
      <c r="I7" s="23">
        <f>G7</f>
        <v>3000000</v>
      </c>
      <c r="J7" s="2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81" t="s">
        <v>76</v>
      </c>
      <c r="B8" s="182"/>
      <c r="C8" s="182"/>
      <c r="D8" s="182"/>
      <c r="E8" s="182"/>
      <c r="F8" s="180"/>
      <c r="G8" s="27">
        <f>SUM(G7)</f>
        <v>3000000</v>
      </c>
      <c r="H8" s="28"/>
      <c r="I8" s="27">
        <f>SUM(I7)</f>
        <v>3000000</v>
      </c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29"/>
      <c r="B9" s="29"/>
      <c r="C9" s="29"/>
      <c r="D9" s="29"/>
      <c r="E9" s="29"/>
      <c r="F9" s="29"/>
      <c r="G9" s="29"/>
      <c r="H9" s="29"/>
      <c r="I9" s="29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78" t="s">
        <v>77</v>
      </c>
      <c r="B10" s="156"/>
      <c r="C10" s="178"/>
      <c r="D10" s="156"/>
      <c r="E10" s="178"/>
      <c r="F10" s="156"/>
      <c r="G10" s="178" t="s">
        <v>78</v>
      </c>
      <c r="H10" s="156"/>
      <c r="I10" s="15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29"/>
      <c r="B11" s="29"/>
      <c r="C11" s="29"/>
      <c r="D11" s="30"/>
      <c r="E11" s="29"/>
      <c r="F11" s="30"/>
      <c r="G11" s="29"/>
      <c r="H11" s="30"/>
      <c r="I11" s="30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29"/>
      <c r="B12" s="29"/>
      <c r="C12" s="29"/>
      <c r="D12" s="30"/>
      <c r="E12" s="29"/>
      <c r="F12" s="30"/>
      <c r="G12" s="29"/>
      <c r="H12" s="30"/>
      <c r="I12" s="30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31"/>
      <c r="B13" s="31"/>
      <c r="C13" s="29"/>
      <c r="D13" s="31"/>
      <c r="E13" s="31"/>
      <c r="F13" s="31"/>
      <c r="G13" s="31"/>
      <c r="H13" s="31"/>
      <c r="I13" s="31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31"/>
      <c r="B14" s="31"/>
      <c r="C14" s="29"/>
      <c r="D14" s="31"/>
      <c r="E14" s="31"/>
      <c r="F14" s="31"/>
      <c r="G14" s="31"/>
      <c r="H14" s="31"/>
      <c r="I14" s="31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178" t="s">
        <v>79</v>
      </c>
      <c r="B15" s="156"/>
      <c r="C15" s="178"/>
      <c r="D15" s="156"/>
      <c r="E15" s="178"/>
      <c r="F15" s="156"/>
      <c r="G15" s="178" t="s">
        <v>80</v>
      </c>
      <c r="H15" s="156"/>
      <c r="I15" s="15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D6:E6"/>
    <mergeCell ref="D7:E7"/>
    <mergeCell ref="E15:F15"/>
    <mergeCell ref="G15:I15"/>
    <mergeCell ref="A8:F8"/>
    <mergeCell ref="A10:B10"/>
    <mergeCell ref="C10:D10"/>
    <mergeCell ref="E10:F10"/>
    <mergeCell ref="G10:I10"/>
    <mergeCell ref="A15:B15"/>
    <mergeCell ref="C15:D15"/>
    <mergeCell ref="A4:B4"/>
    <mergeCell ref="H4:I4"/>
    <mergeCell ref="C4:E4"/>
    <mergeCell ref="F4:G4"/>
    <mergeCell ref="D5:E5"/>
    <mergeCell ref="F5:G5"/>
    <mergeCell ref="H5:I5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107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45881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107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84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85</v>
      </c>
      <c r="D7" s="145"/>
      <c r="E7" s="146"/>
      <c r="F7" s="175" t="s">
        <v>51</v>
      </c>
      <c r="G7" s="146"/>
      <c r="H7" s="174">
        <v>45860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53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8"/>
      <c r="B9" s="19"/>
      <c r="C9" s="20"/>
      <c r="D9" s="19"/>
      <c r="E9" s="19"/>
      <c r="F9" s="19"/>
      <c r="G9" s="19"/>
      <c r="H9" s="19"/>
      <c r="I9" s="19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21" t="s">
        <v>56</v>
      </c>
      <c r="B10" s="21" t="s">
        <v>57</v>
      </c>
      <c r="C10" s="21" t="s">
        <v>17</v>
      </c>
      <c r="D10" s="176" t="s">
        <v>58</v>
      </c>
      <c r="E10" s="146"/>
      <c r="F10" s="21" t="s">
        <v>59</v>
      </c>
      <c r="G10" s="21" t="s">
        <v>16</v>
      </c>
      <c r="H10" s="21" t="s">
        <v>60</v>
      </c>
      <c r="I10" s="21" t="s">
        <v>61</v>
      </c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21">
        <v>1</v>
      </c>
      <c r="B11" s="22">
        <v>45880</v>
      </c>
      <c r="C11" s="33" t="s">
        <v>108</v>
      </c>
      <c r="D11" s="173" t="s">
        <v>109</v>
      </c>
      <c r="E11" s="146"/>
      <c r="F11" s="21"/>
      <c r="G11" s="23">
        <f>3150000*1.08</f>
        <v>3402000</v>
      </c>
      <c r="H11" s="17"/>
      <c r="I11" s="23">
        <f t="shared" ref="I11:I12" si="0">G11</f>
        <v>3402000</v>
      </c>
      <c r="J11" s="2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26">
        <v>2</v>
      </c>
      <c r="B12" s="25">
        <v>45880</v>
      </c>
      <c r="C12" s="32" t="s">
        <v>108</v>
      </c>
      <c r="D12" s="173" t="s">
        <v>110</v>
      </c>
      <c r="E12" s="146"/>
      <c r="F12" s="26"/>
      <c r="G12" s="23">
        <f>4620000*1.08</f>
        <v>4989600</v>
      </c>
      <c r="H12" s="17"/>
      <c r="I12" s="23">
        <f t="shared" si="0"/>
        <v>4989600</v>
      </c>
      <c r="J12" s="2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181" t="s">
        <v>76</v>
      </c>
      <c r="B13" s="182"/>
      <c r="C13" s="182"/>
      <c r="D13" s="182"/>
      <c r="E13" s="182"/>
      <c r="F13" s="180"/>
      <c r="G13" s="27">
        <f>SUM(G11:G12)</f>
        <v>8391600</v>
      </c>
      <c r="H13" s="28"/>
      <c r="I13" s="27">
        <f>SUM(I11:I12)</f>
        <v>8391600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34"/>
      <c r="B14" s="34"/>
      <c r="C14" s="34"/>
      <c r="D14" s="34"/>
      <c r="E14" s="34"/>
      <c r="F14" s="34"/>
      <c r="G14" s="35"/>
      <c r="H14" s="35"/>
      <c r="I14" s="35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78" t="s">
        <v>77</v>
      </c>
      <c r="B16" s="156"/>
      <c r="C16" s="178"/>
      <c r="D16" s="156"/>
      <c r="E16" s="178"/>
      <c r="F16" s="156"/>
      <c r="G16" s="178" t="s">
        <v>78</v>
      </c>
      <c r="H16" s="156"/>
      <c r="I16" s="15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29"/>
      <c r="B17" s="29"/>
      <c r="C17" s="29"/>
      <c r="D17" s="30"/>
      <c r="E17" s="29"/>
      <c r="F17" s="30"/>
      <c r="G17" s="29"/>
      <c r="H17" s="30"/>
      <c r="I17" s="30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9"/>
      <c r="B18" s="29"/>
      <c r="C18" s="29"/>
      <c r="D18" s="30"/>
      <c r="E18" s="29"/>
      <c r="F18" s="30"/>
      <c r="G18" s="29"/>
      <c r="H18" s="30"/>
      <c r="I18" s="30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31"/>
      <c r="B19" s="31"/>
      <c r="C19" s="29"/>
      <c r="D19" s="31"/>
      <c r="E19" s="31"/>
      <c r="F19" s="31"/>
      <c r="G19" s="31"/>
      <c r="H19" s="31"/>
      <c r="I19" s="31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31"/>
      <c r="B20" s="31"/>
      <c r="C20" s="29"/>
      <c r="D20" s="31"/>
      <c r="E20" s="31"/>
      <c r="F20" s="31"/>
      <c r="G20" s="31"/>
      <c r="H20" s="31"/>
      <c r="I20" s="31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78" t="s">
        <v>79</v>
      </c>
      <c r="B21" s="156"/>
      <c r="C21" s="178"/>
      <c r="D21" s="156"/>
      <c r="E21" s="178"/>
      <c r="F21" s="156"/>
      <c r="G21" s="178" t="s">
        <v>80</v>
      </c>
      <c r="H21" s="156"/>
      <c r="I21" s="156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D10:E10"/>
    <mergeCell ref="D11:E11"/>
    <mergeCell ref="D12:E12"/>
    <mergeCell ref="A13:F13"/>
    <mergeCell ref="C16:D16"/>
    <mergeCell ref="E16:F16"/>
    <mergeCell ref="A16:B16"/>
    <mergeCell ref="A21:B21"/>
    <mergeCell ref="C21:D21"/>
    <mergeCell ref="E21:F21"/>
    <mergeCell ref="G21:I21"/>
    <mergeCell ref="G16:I16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79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91</v>
      </c>
      <c r="D4" s="145"/>
      <c r="E4" s="146"/>
      <c r="F4" s="175" t="s">
        <v>51</v>
      </c>
      <c r="G4" s="146"/>
      <c r="H4" s="174">
        <v>45906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111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84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85</v>
      </c>
      <c r="D7" s="145"/>
      <c r="E7" s="146"/>
      <c r="F7" s="175" t="s">
        <v>51</v>
      </c>
      <c r="G7" s="146"/>
      <c r="H7" s="174">
        <v>45860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53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8"/>
      <c r="B9" s="19"/>
      <c r="C9" s="20"/>
      <c r="D9" s="19"/>
      <c r="E9" s="19"/>
      <c r="F9" s="19"/>
      <c r="G9" s="19"/>
      <c r="H9" s="19"/>
      <c r="I9" s="19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21" t="s">
        <v>56</v>
      </c>
      <c r="B10" s="21" t="s">
        <v>57</v>
      </c>
      <c r="C10" s="21" t="s">
        <v>17</v>
      </c>
      <c r="D10" s="176" t="s">
        <v>58</v>
      </c>
      <c r="E10" s="146"/>
      <c r="F10" s="21" t="s">
        <v>59</v>
      </c>
      <c r="G10" s="21" t="s">
        <v>16</v>
      </c>
      <c r="H10" s="21" t="s">
        <v>60</v>
      </c>
      <c r="I10" s="21" t="s">
        <v>61</v>
      </c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26">
        <v>1</v>
      </c>
      <c r="B11" s="22">
        <v>45902</v>
      </c>
      <c r="C11" s="26"/>
      <c r="D11" s="173" t="s">
        <v>112</v>
      </c>
      <c r="E11" s="146"/>
      <c r="F11" s="26"/>
      <c r="G11" s="23">
        <v>300000</v>
      </c>
      <c r="H11" s="17"/>
      <c r="I11" s="23">
        <f>G11</f>
        <v>300000</v>
      </c>
      <c r="J11" s="2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1" t="s">
        <v>76</v>
      </c>
      <c r="B12" s="182"/>
      <c r="C12" s="182"/>
      <c r="D12" s="182"/>
      <c r="E12" s="182"/>
      <c r="F12" s="180"/>
      <c r="G12" s="27">
        <f>SUM(G11)</f>
        <v>300000</v>
      </c>
      <c r="H12" s="28"/>
      <c r="I12" s="27">
        <f>SUM(I11)</f>
        <v>300000</v>
      </c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34"/>
      <c r="B13" s="34"/>
      <c r="C13" s="34"/>
      <c r="D13" s="34"/>
      <c r="E13" s="34"/>
      <c r="F13" s="34"/>
      <c r="G13" s="35"/>
      <c r="H13" s="35"/>
      <c r="I13" s="35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178" t="s">
        <v>77</v>
      </c>
      <c r="B15" s="156"/>
      <c r="C15" s="178"/>
      <c r="D15" s="156"/>
      <c r="E15" s="178"/>
      <c r="F15" s="156"/>
      <c r="G15" s="178" t="s">
        <v>78</v>
      </c>
      <c r="H15" s="156"/>
      <c r="I15" s="15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29"/>
      <c r="B16" s="29"/>
      <c r="C16" s="29"/>
      <c r="D16" s="30"/>
      <c r="E16" s="29"/>
      <c r="F16" s="30"/>
      <c r="G16" s="29"/>
      <c r="H16" s="30"/>
      <c r="I16" s="30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29"/>
      <c r="B17" s="29"/>
      <c r="C17" s="29"/>
      <c r="D17" s="30"/>
      <c r="E17" s="29"/>
      <c r="F17" s="30"/>
      <c r="G17" s="29"/>
      <c r="H17" s="30"/>
      <c r="I17" s="30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31"/>
      <c r="B18" s="31"/>
      <c r="C18" s="29"/>
      <c r="D18" s="31"/>
      <c r="E18" s="31"/>
      <c r="F18" s="31"/>
      <c r="G18" s="31"/>
      <c r="H18" s="31"/>
      <c r="I18" s="31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31"/>
      <c r="B19" s="31"/>
      <c r="C19" s="29"/>
      <c r="D19" s="31"/>
      <c r="E19" s="31"/>
      <c r="F19" s="31"/>
      <c r="G19" s="31"/>
      <c r="H19" s="31"/>
      <c r="I19" s="31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78" t="s">
        <v>79</v>
      </c>
      <c r="B20" s="156"/>
      <c r="C20" s="178"/>
      <c r="D20" s="156"/>
      <c r="E20" s="178"/>
      <c r="F20" s="156"/>
      <c r="G20" s="178" t="s">
        <v>80</v>
      </c>
      <c r="H20" s="156"/>
      <c r="I20" s="156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20:B20"/>
    <mergeCell ref="C20:D20"/>
    <mergeCell ref="E20:F20"/>
    <mergeCell ref="G20:I20"/>
    <mergeCell ref="D10:E10"/>
    <mergeCell ref="D11:E11"/>
    <mergeCell ref="A12:F12"/>
    <mergeCell ref="A15:B15"/>
    <mergeCell ref="C15:D15"/>
    <mergeCell ref="E15:F15"/>
    <mergeCell ref="G15:I15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79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91</v>
      </c>
      <c r="D4" s="145"/>
      <c r="E4" s="146"/>
      <c r="F4" s="175" t="s">
        <v>51</v>
      </c>
      <c r="G4" s="146"/>
      <c r="H4" s="174">
        <v>45906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111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84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85</v>
      </c>
      <c r="D7" s="145"/>
      <c r="E7" s="146"/>
      <c r="F7" s="175" t="s">
        <v>51</v>
      </c>
      <c r="G7" s="146"/>
      <c r="H7" s="174">
        <v>45860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53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8"/>
      <c r="B9" s="19"/>
      <c r="C9" s="20"/>
      <c r="D9" s="19"/>
      <c r="E9" s="19"/>
      <c r="F9" s="19"/>
      <c r="G9" s="19"/>
      <c r="H9" s="19"/>
      <c r="I9" s="19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21" t="s">
        <v>56</v>
      </c>
      <c r="B10" s="21" t="s">
        <v>57</v>
      </c>
      <c r="C10" s="21" t="s">
        <v>17</v>
      </c>
      <c r="D10" s="176" t="s">
        <v>58</v>
      </c>
      <c r="E10" s="146"/>
      <c r="F10" s="21" t="s">
        <v>59</v>
      </c>
      <c r="G10" s="21" t="s">
        <v>16</v>
      </c>
      <c r="H10" s="21" t="s">
        <v>60</v>
      </c>
      <c r="I10" s="21" t="s">
        <v>61</v>
      </c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21">
        <v>1</v>
      </c>
      <c r="B11" s="22">
        <v>45897</v>
      </c>
      <c r="C11" s="21"/>
      <c r="D11" s="173" t="s">
        <v>113</v>
      </c>
      <c r="E11" s="146"/>
      <c r="F11" s="21"/>
      <c r="G11" s="23">
        <v>450000</v>
      </c>
      <c r="H11" s="17"/>
      <c r="I11" s="23">
        <f t="shared" ref="I11:I14" si="0">G11</f>
        <v>450000</v>
      </c>
      <c r="J11" s="2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26">
        <v>2</v>
      </c>
      <c r="B12" s="25">
        <v>45898</v>
      </c>
      <c r="C12" s="26"/>
      <c r="D12" s="173" t="s">
        <v>114</v>
      </c>
      <c r="E12" s="146"/>
      <c r="F12" s="26"/>
      <c r="G12" s="23">
        <v>236000</v>
      </c>
      <c r="H12" s="17"/>
      <c r="I12" s="23">
        <f t="shared" si="0"/>
        <v>236000</v>
      </c>
      <c r="J12" s="2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6">
        <v>3</v>
      </c>
      <c r="B13" s="25">
        <v>45900</v>
      </c>
      <c r="C13" s="26"/>
      <c r="D13" s="173" t="s">
        <v>115</v>
      </c>
      <c r="E13" s="146"/>
      <c r="F13" s="26"/>
      <c r="G13" s="23">
        <v>450000</v>
      </c>
      <c r="H13" s="17"/>
      <c r="I13" s="23">
        <f t="shared" si="0"/>
        <v>450000</v>
      </c>
      <c r="J13" s="2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4</v>
      </c>
      <c r="B14" s="25">
        <v>45900</v>
      </c>
      <c r="C14" s="26"/>
      <c r="D14" s="173" t="s">
        <v>116</v>
      </c>
      <c r="E14" s="146"/>
      <c r="F14" s="26"/>
      <c r="G14" s="23">
        <v>192000</v>
      </c>
      <c r="H14" s="17"/>
      <c r="I14" s="23">
        <f t="shared" si="0"/>
        <v>192000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181" t="s">
        <v>76</v>
      </c>
      <c r="B15" s="182"/>
      <c r="C15" s="182"/>
      <c r="D15" s="182"/>
      <c r="E15" s="182"/>
      <c r="F15" s="180"/>
      <c r="G15" s="27">
        <f>SUM(G11:G14)</f>
        <v>1328000</v>
      </c>
      <c r="H15" s="28"/>
      <c r="I15" s="27">
        <f>SUM(I11:I14)</f>
        <v>1328000</v>
      </c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34"/>
      <c r="B16" s="34"/>
      <c r="C16" s="34"/>
      <c r="D16" s="34"/>
      <c r="E16" s="34"/>
      <c r="F16" s="34"/>
      <c r="G16" s="35"/>
      <c r="H16" s="35"/>
      <c r="I16" s="35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78" t="s">
        <v>77</v>
      </c>
      <c r="B18" s="156"/>
      <c r="C18" s="178"/>
      <c r="D18" s="156"/>
      <c r="E18" s="178"/>
      <c r="F18" s="156"/>
      <c r="G18" s="178" t="s">
        <v>78</v>
      </c>
      <c r="H18" s="156"/>
      <c r="I18" s="156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9"/>
      <c r="B19" s="29"/>
      <c r="C19" s="29"/>
      <c r="D19" s="30"/>
      <c r="E19" s="29"/>
      <c r="F19" s="30"/>
      <c r="G19" s="29"/>
      <c r="H19" s="30"/>
      <c r="I19" s="30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9"/>
      <c r="B20" s="29"/>
      <c r="C20" s="29"/>
      <c r="D20" s="30"/>
      <c r="E20" s="29"/>
      <c r="F20" s="30"/>
      <c r="G20" s="29"/>
      <c r="H20" s="30"/>
      <c r="I20" s="30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31"/>
      <c r="B21" s="31"/>
      <c r="C21" s="29"/>
      <c r="D21" s="31"/>
      <c r="E21" s="31"/>
      <c r="F21" s="31"/>
      <c r="G21" s="31"/>
      <c r="H21" s="31"/>
      <c r="I21" s="31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31"/>
      <c r="B22" s="31"/>
      <c r="C22" s="29"/>
      <c r="D22" s="31"/>
      <c r="E22" s="31"/>
      <c r="F22" s="31"/>
      <c r="G22" s="31"/>
      <c r="H22" s="31"/>
      <c r="I22" s="31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78" t="s">
        <v>79</v>
      </c>
      <c r="B23" s="156"/>
      <c r="C23" s="178"/>
      <c r="D23" s="156"/>
      <c r="E23" s="178"/>
      <c r="F23" s="156"/>
      <c r="G23" s="178" t="s">
        <v>80</v>
      </c>
      <c r="H23" s="156"/>
      <c r="I23" s="156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5:F15"/>
    <mergeCell ref="A18:B18"/>
    <mergeCell ref="D10:E10"/>
    <mergeCell ref="D11:E11"/>
    <mergeCell ref="D12:E12"/>
    <mergeCell ref="D13:E13"/>
    <mergeCell ref="D14:E14"/>
    <mergeCell ref="C18:D18"/>
    <mergeCell ref="E18:F18"/>
    <mergeCell ref="G18:I18"/>
    <mergeCell ref="A23:B23"/>
    <mergeCell ref="C23:D23"/>
    <mergeCell ref="E23:F23"/>
    <mergeCell ref="G23:I23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969"/>
  <sheetViews>
    <sheetView showGridLines="0" workbookViewId="0">
      <selection sqref="A1:I1"/>
    </sheetView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  <col min="7" max="7" width="16.6640625" customWidth="1"/>
    <col min="8" max="25" width="12.6640625" customWidth="1"/>
  </cols>
  <sheetData>
    <row r="1" spans="1:26" ht="51.75" customHeight="1">
      <c r="A1" s="186" t="s">
        <v>44</v>
      </c>
      <c r="B1" s="151"/>
      <c r="C1" s="151"/>
      <c r="D1" s="151"/>
      <c r="E1" s="151"/>
      <c r="F1" s="151"/>
      <c r="G1" s="151"/>
      <c r="H1" s="151"/>
      <c r="I1" s="152"/>
      <c r="J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12"/>
    </row>
    <row r="2" spans="1:26" ht="13.8" customHeight="1">
      <c r="A2" s="38"/>
      <c r="B2" s="39"/>
      <c r="C2" s="40"/>
      <c r="D2" s="36"/>
      <c r="E2" s="36"/>
      <c r="F2" s="36"/>
      <c r="G2" s="41"/>
      <c r="H2" s="187" t="s">
        <v>45</v>
      </c>
      <c r="I2" s="188"/>
      <c r="J2" s="36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12"/>
    </row>
    <row r="3" spans="1:26" ht="15.75" customHeight="1">
      <c r="A3" s="189" t="s">
        <v>46</v>
      </c>
      <c r="B3" s="146"/>
      <c r="C3" s="189" t="s">
        <v>6</v>
      </c>
      <c r="D3" s="145"/>
      <c r="E3" s="146"/>
      <c r="F3" s="189" t="s">
        <v>14</v>
      </c>
      <c r="G3" s="146"/>
      <c r="H3" s="190" t="s">
        <v>117</v>
      </c>
      <c r="I3" s="14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12"/>
    </row>
    <row r="4" spans="1:26" ht="15.75" customHeight="1">
      <c r="A4" s="189" t="s">
        <v>49</v>
      </c>
      <c r="B4" s="146"/>
      <c r="C4" s="189" t="s">
        <v>12</v>
      </c>
      <c r="D4" s="145"/>
      <c r="E4" s="146"/>
      <c r="F4" s="192" t="s">
        <v>51</v>
      </c>
      <c r="G4" s="146"/>
      <c r="H4" s="191">
        <v>46085</v>
      </c>
      <c r="I4" s="146"/>
      <c r="J4" s="36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2"/>
    </row>
    <row r="5" spans="1:26" ht="15.75" customHeight="1">
      <c r="A5" s="42" t="s">
        <v>52</v>
      </c>
      <c r="B5" s="43" t="s">
        <v>10</v>
      </c>
      <c r="C5" s="42" t="s">
        <v>7</v>
      </c>
      <c r="D5" s="189" t="s">
        <v>118</v>
      </c>
      <c r="E5" s="146"/>
      <c r="F5" s="189" t="s">
        <v>55</v>
      </c>
      <c r="G5" s="146"/>
      <c r="H5" s="190" t="s">
        <v>117</v>
      </c>
      <c r="I5" s="146"/>
      <c r="J5" s="36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12"/>
    </row>
    <row r="6" spans="1:26" ht="15.75" hidden="1" customHeight="1">
      <c r="A6" s="189" t="s">
        <v>46</v>
      </c>
      <c r="B6" s="146"/>
      <c r="C6" s="189" t="s">
        <v>119</v>
      </c>
      <c r="D6" s="145"/>
      <c r="E6" s="146"/>
      <c r="F6" s="189" t="s">
        <v>14</v>
      </c>
      <c r="G6" s="146"/>
      <c r="H6" s="190" t="s">
        <v>48</v>
      </c>
      <c r="I6" s="146"/>
      <c r="J6" s="36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12"/>
    </row>
    <row r="7" spans="1:26" ht="15.75" hidden="1" customHeight="1">
      <c r="A7" s="189" t="s">
        <v>49</v>
      </c>
      <c r="B7" s="146"/>
      <c r="C7" s="189" t="s">
        <v>120</v>
      </c>
      <c r="D7" s="145"/>
      <c r="E7" s="146"/>
      <c r="F7" s="192" t="s">
        <v>51</v>
      </c>
      <c r="G7" s="146"/>
      <c r="H7" s="191">
        <v>45906</v>
      </c>
      <c r="I7" s="146"/>
      <c r="J7" s="36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12"/>
    </row>
    <row r="8" spans="1:26" ht="15.75" hidden="1" customHeight="1">
      <c r="A8" s="42" t="s">
        <v>52</v>
      </c>
      <c r="B8" s="43" t="s">
        <v>121</v>
      </c>
      <c r="C8" s="42" t="s">
        <v>7</v>
      </c>
      <c r="D8" s="189" t="s">
        <v>54</v>
      </c>
      <c r="E8" s="146"/>
      <c r="F8" s="189" t="s">
        <v>55</v>
      </c>
      <c r="G8" s="146"/>
      <c r="H8" s="190" t="s">
        <v>48</v>
      </c>
      <c r="I8" s="146"/>
      <c r="J8" s="36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12"/>
    </row>
    <row r="9" spans="1:26" ht="15.75" hidden="1" customHeight="1">
      <c r="A9" s="189" t="s">
        <v>46</v>
      </c>
      <c r="B9" s="146"/>
      <c r="C9" s="189" t="s">
        <v>84</v>
      </c>
      <c r="D9" s="145"/>
      <c r="E9" s="146"/>
      <c r="F9" s="189" t="s">
        <v>14</v>
      </c>
      <c r="G9" s="146"/>
      <c r="H9" s="190" t="s">
        <v>48</v>
      </c>
      <c r="I9" s="146"/>
      <c r="J9" s="36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12"/>
    </row>
    <row r="10" spans="1:26" ht="15.75" hidden="1" customHeight="1">
      <c r="A10" s="189" t="s">
        <v>49</v>
      </c>
      <c r="B10" s="146"/>
      <c r="C10" s="189" t="s">
        <v>85</v>
      </c>
      <c r="D10" s="145"/>
      <c r="E10" s="146"/>
      <c r="F10" s="192" t="s">
        <v>51</v>
      </c>
      <c r="G10" s="146"/>
      <c r="H10" s="191">
        <v>45860</v>
      </c>
      <c r="I10" s="146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12"/>
    </row>
    <row r="11" spans="1:26" ht="15.75" hidden="1" customHeight="1">
      <c r="A11" s="42" t="s">
        <v>52</v>
      </c>
      <c r="B11" s="43" t="s">
        <v>53</v>
      </c>
      <c r="C11" s="42" t="s">
        <v>7</v>
      </c>
      <c r="D11" s="189" t="s">
        <v>54</v>
      </c>
      <c r="E11" s="146"/>
      <c r="F11" s="189" t="s">
        <v>55</v>
      </c>
      <c r="G11" s="146"/>
      <c r="H11" s="190" t="s">
        <v>48</v>
      </c>
      <c r="I11" s="146"/>
      <c r="J11" s="36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12"/>
    </row>
    <row r="12" spans="1:26" ht="15.75" customHeight="1">
      <c r="A12" s="44"/>
      <c r="B12" s="45"/>
      <c r="C12" s="46"/>
      <c r="D12" s="47"/>
      <c r="E12" s="47"/>
      <c r="F12" s="47"/>
      <c r="G12" s="48"/>
      <c r="H12" s="47"/>
      <c r="I12" s="47"/>
      <c r="J12" s="36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12"/>
    </row>
    <row r="13" spans="1:26" ht="15.75" customHeight="1">
      <c r="A13" s="49" t="s">
        <v>56</v>
      </c>
      <c r="B13" s="50" t="s">
        <v>57</v>
      </c>
      <c r="C13" s="49" t="s">
        <v>17</v>
      </c>
      <c r="D13" s="193" t="s">
        <v>58</v>
      </c>
      <c r="E13" s="146"/>
      <c r="F13" s="49" t="s">
        <v>59</v>
      </c>
      <c r="G13" s="51" t="s">
        <v>16</v>
      </c>
      <c r="H13" s="49" t="s">
        <v>60</v>
      </c>
      <c r="I13" s="49" t="s">
        <v>61</v>
      </c>
      <c r="J13" s="36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12"/>
    </row>
    <row r="14" spans="1:26" ht="15.75" customHeight="1">
      <c r="A14" s="49">
        <v>1</v>
      </c>
      <c r="B14" s="50">
        <v>46054</v>
      </c>
      <c r="C14" s="49"/>
      <c r="D14" s="184" t="s">
        <v>122</v>
      </c>
      <c r="E14" s="146"/>
      <c r="F14" s="49"/>
      <c r="G14" s="51">
        <v>1100000</v>
      </c>
      <c r="H14" s="49"/>
      <c r="I14" s="51">
        <f t="shared" ref="I14:I23" si="0">G14</f>
        <v>1100000</v>
      </c>
      <c r="J14" s="36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12"/>
    </row>
    <row r="15" spans="1:26" ht="15.75" customHeight="1">
      <c r="A15" s="49">
        <v>2</v>
      </c>
      <c r="B15" s="50">
        <v>46055</v>
      </c>
      <c r="C15" s="49"/>
      <c r="D15" s="184" t="s">
        <v>122</v>
      </c>
      <c r="E15" s="146"/>
      <c r="F15" s="49"/>
      <c r="G15" s="51">
        <v>1100000</v>
      </c>
      <c r="H15" s="49"/>
      <c r="I15" s="51">
        <f t="shared" si="0"/>
        <v>1100000</v>
      </c>
      <c r="J15" s="36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12"/>
    </row>
    <row r="16" spans="1:26" ht="15.75" customHeight="1">
      <c r="A16" s="49">
        <v>3</v>
      </c>
      <c r="B16" s="50">
        <v>46056</v>
      </c>
      <c r="C16" s="49"/>
      <c r="D16" s="184" t="s">
        <v>122</v>
      </c>
      <c r="E16" s="146"/>
      <c r="F16" s="49"/>
      <c r="G16" s="51">
        <v>1100000</v>
      </c>
      <c r="H16" s="49"/>
      <c r="I16" s="51">
        <f t="shared" si="0"/>
        <v>1100000</v>
      </c>
      <c r="J16" s="36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12"/>
    </row>
    <row r="17" spans="1:26" ht="15.75" customHeight="1">
      <c r="A17" s="49">
        <v>4</v>
      </c>
      <c r="B17" s="50">
        <v>46057</v>
      </c>
      <c r="C17" s="49"/>
      <c r="D17" s="184" t="s">
        <v>122</v>
      </c>
      <c r="E17" s="146"/>
      <c r="F17" s="49"/>
      <c r="G17" s="51">
        <v>1100000</v>
      </c>
      <c r="H17" s="49"/>
      <c r="I17" s="51">
        <f t="shared" si="0"/>
        <v>1100000</v>
      </c>
      <c r="J17" s="36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12"/>
    </row>
    <row r="18" spans="1:26" ht="15.75" customHeight="1">
      <c r="A18" s="49">
        <v>5</v>
      </c>
      <c r="B18" s="50">
        <v>46058</v>
      </c>
      <c r="C18" s="49"/>
      <c r="D18" s="184" t="s">
        <v>122</v>
      </c>
      <c r="E18" s="146"/>
      <c r="F18" s="49"/>
      <c r="G18" s="51">
        <v>1100000</v>
      </c>
      <c r="H18" s="49"/>
      <c r="I18" s="51">
        <f t="shared" si="0"/>
        <v>1100000</v>
      </c>
      <c r="J18" s="36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12"/>
    </row>
    <row r="19" spans="1:26" ht="15.75" customHeight="1">
      <c r="A19" s="49">
        <v>6</v>
      </c>
      <c r="B19" s="50">
        <v>46059</v>
      </c>
      <c r="C19" s="49"/>
      <c r="D19" s="184" t="s">
        <v>122</v>
      </c>
      <c r="E19" s="146"/>
      <c r="F19" s="49"/>
      <c r="G19" s="51">
        <v>1100000</v>
      </c>
      <c r="H19" s="49"/>
      <c r="I19" s="51">
        <f t="shared" si="0"/>
        <v>1100000</v>
      </c>
      <c r="J19" s="36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12"/>
    </row>
    <row r="20" spans="1:26" ht="15.75" customHeight="1">
      <c r="A20" s="49">
        <v>7</v>
      </c>
      <c r="B20" s="50">
        <v>46060</v>
      </c>
      <c r="C20" s="49"/>
      <c r="D20" s="184" t="s">
        <v>122</v>
      </c>
      <c r="E20" s="146"/>
      <c r="F20" s="49"/>
      <c r="G20" s="51">
        <v>1100000</v>
      </c>
      <c r="H20" s="49"/>
      <c r="I20" s="51">
        <f t="shared" si="0"/>
        <v>1100000</v>
      </c>
      <c r="J20" s="36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12"/>
    </row>
    <row r="21" spans="1:26" ht="15.75" customHeight="1">
      <c r="A21" s="49">
        <v>8</v>
      </c>
      <c r="B21" s="50">
        <v>46064</v>
      </c>
      <c r="C21" s="49"/>
      <c r="D21" s="184" t="s">
        <v>122</v>
      </c>
      <c r="E21" s="146"/>
      <c r="F21" s="49"/>
      <c r="G21" s="51">
        <v>1100000</v>
      </c>
      <c r="H21" s="49"/>
      <c r="I21" s="51">
        <f t="shared" si="0"/>
        <v>1100000</v>
      </c>
      <c r="J21" s="36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12"/>
    </row>
    <row r="22" spans="1:26" ht="15.75" customHeight="1">
      <c r="A22" s="49">
        <v>9</v>
      </c>
      <c r="B22" s="50">
        <v>46079</v>
      </c>
      <c r="C22" s="49"/>
      <c r="D22" s="184" t="s">
        <v>122</v>
      </c>
      <c r="E22" s="146"/>
      <c r="F22" s="49"/>
      <c r="G22" s="51">
        <v>1100000</v>
      </c>
      <c r="H22" s="49"/>
      <c r="I22" s="51">
        <f t="shared" si="0"/>
        <v>1100000</v>
      </c>
      <c r="J22" s="36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12"/>
    </row>
    <row r="23" spans="1:26" ht="15.75" customHeight="1">
      <c r="A23" s="49">
        <v>10</v>
      </c>
      <c r="B23" s="50">
        <v>46081</v>
      </c>
      <c r="C23" s="49"/>
      <c r="D23" s="184" t="s">
        <v>122</v>
      </c>
      <c r="E23" s="146"/>
      <c r="F23" s="49"/>
      <c r="G23" s="51">
        <v>1100000</v>
      </c>
      <c r="H23" s="49"/>
      <c r="I23" s="51">
        <f t="shared" si="0"/>
        <v>1100000</v>
      </c>
      <c r="J23" s="36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12"/>
    </row>
    <row r="24" spans="1:26" ht="15.75" customHeight="1">
      <c r="A24" s="185" t="s">
        <v>76</v>
      </c>
      <c r="B24" s="182"/>
      <c r="C24" s="182"/>
      <c r="D24" s="182"/>
      <c r="E24" s="182"/>
      <c r="F24" s="180"/>
      <c r="G24" s="52">
        <f>SUM(G14:G23)</f>
        <v>11000000</v>
      </c>
      <c r="H24" s="53"/>
      <c r="I24" s="54">
        <f>SUM(I14:I23)</f>
        <v>11000000</v>
      </c>
      <c r="J24" s="3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2"/>
    </row>
    <row r="25" spans="1:26" ht="15.75" customHeight="1">
      <c r="A25" s="55"/>
      <c r="B25" s="56"/>
      <c r="C25" s="55"/>
      <c r="D25" s="55"/>
      <c r="E25" s="55"/>
      <c r="F25" s="55"/>
      <c r="G25" s="57"/>
      <c r="H25" s="58"/>
      <c r="I25" s="58"/>
      <c r="J25" s="36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12"/>
    </row>
    <row r="26" spans="1:26" ht="15.75" customHeight="1">
      <c r="A26" s="59"/>
      <c r="B26" s="60"/>
      <c r="C26" s="59"/>
      <c r="D26" s="59"/>
      <c r="E26" s="59"/>
      <c r="F26" s="59"/>
      <c r="G26" s="61"/>
      <c r="H26" s="59"/>
      <c r="I26" s="59"/>
      <c r="J26" s="36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12"/>
    </row>
    <row r="27" spans="1:26" ht="15.75" customHeight="1">
      <c r="A27" s="183" t="s">
        <v>77</v>
      </c>
      <c r="B27" s="156"/>
      <c r="C27" s="183"/>
      <c r="D27" s="156"/>
      <c r="E27" s="183"/>
      <c r="F27" s="156"/>
      <c r="G27" s="183" t="s">
        <v>78</v>
      </c>
      <c r="H27" s="156"/>
      <c r="I27" s="156"/>
      <c r="J27" s="36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12"/>
    </row>
    <row r="28" spans="1:26" ht="15.75" customHeight="1">
      <c r="A28" s="59"/>
      <c r="B28" s="60"/>
      <c r="C28" s="59"/>
      <c r="D28" s="36"/>
      <c r="E28" s="59"/>
      <c r="F28" s="36"/>
      <c r="G28" s="61"/>
      <c r="H28" s="36"/>
      <c r="I28" s="36"/>
      <c r="J28" s="36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12"/>
    </row>
    <row r="29" spans="1:26" ht="15.75" customHeight="1">
      <c r="A29" s="59"/>
      <c r="B29" s="60"/>
      <c r="C29" s="59"/>
      <c r="D29" s="36"/>
      <c r="E29" s="59"/>
      <c r="F29" s="36"/>
      <c r="G29" s="61"/>
      <c r="H29" s="36"/>
      <c r="I29" s="36"/>
      <c r="J29" s="3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12"/>
    </row>
    <row r="30" spans="1:26" ht="15.75" customHeight="1">
      <c r="A30" s="62"/>
      <c r="B30" s="63"/>
      <c r="C30" s="59"/>
      <c r="D30" s="62"/>
      <c r="E30" s="62"/>
      <c r="F30" s="62"/>
      <c r="G30" s="41"/>
      <c r="H30" s="62"/>
      <c r="I30" s="62"/>
      <c r="J30" s="36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12"/>
    </row>
    <row r="31" spans="1:26" ht="15.75" customHeight="1">
      <c r="A31" s="62"/>
      <c r="B31" s="63"/>
      <c r="C31" s="59"/>
      <c r="D31" s="62"/>
      <c r="E31" s="62"/>
      <c r="F31" s="62"/>
      <c r="G31" s="41"/>
      <c r="H31" s="62"/>
      <c r="I31" s="62"/>
      <c r="J31" s="36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12"/>
    </row>
    <row r="32" spans="1:26" ht="15.75" customHeight="1">
      <c r="A32" s="183" t="s">
        <v>41</v>
      </c>
      <c r="B32" s="156"/>
      <c r="C32" s="183"/>
      <c r="D32" s="156"/>
      <c r="E32" s="183"/>
      <c r="F32" s="156"/>
      <c r="G32" s="183" t="s">
        <v>6</v>
      </c>
      <c r="H32" s="156"/>
      <c r="I32" s="156"/>
      <c r="J32" s="36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12"/>
    </row>
    <row r="33" spans="1:26" ht="15.75" customHeight="1">
      <c r="A33" s="37"/>
      <c r="B33" s="64"/>
      <c r="C33" s="37"/>
      <c r="D33" s="37"/>
      <c r="E33" s="37"/>
      <c r="F33" s="37"/>
      <c r="G33" s="65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12"/>
    </row>
    <row r="34" spans="1:26" ht="15.75" customHeight="1">
      <c r="A34" s="37"/>
      <c r="B34" s="64"/>
      <c r="C34" s="37"/>
      <c r="D34" s="37"/>
      <c r="E34" s="37"/>
      <c r="F34" s="37"/>
      <c r="G34" s="65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12"/>
    </row>
    <row r="35" spans="1:26" ht="15.75" customHeight="1">
      <c r="A35" s="37"/>
      <c r="B35" s="64"/>
      <c r="C35" s="37"/>
      <c r="D35" s="37"/>
      <c r="E35" s="37"/>
      <c r="F35" s="37"/>
      <c r="G35" s="65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12"/>
    </row>
    <row r="36" spans="1:26" ht="15.75" customHeight="1">
      <c r="A36" s="37"/>
      <c r="B36" s="64"/>
      <c r="C36" s="37"/>
      <c r="D36" s="37"/>
      <c r="E36" s="37"/>
      <c r="F36" s="37"/>
      <c r="G36" s="65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12"/>
    </row>
    <row r="37" spans="1:26" ht="15.75" customHeight="1">
      <c r="A37" s="37"/>
      <c r="B37" s="64"/>
      <c r="C37" s="37"/>
      <c r="D37" s="37"/>
      <c r="E37" s="37"/>
      <c r="F37" s="37"/>
      <c r="G37" s="65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12"/>
    </row>
    <row r="38" spans="1:26" ht="15.75" customHeight="1">
      <c r="A38" s="37"/>
      <c r="B38" s="64"/>
      <c r="C38" s="37"/>
      <c r="D38" s="37"/>
      <c r="E38" s="37"/>
      <c r="F38" s="37"/>
      <c r="G38" s="65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12"/>
    </row>
    <row r="39" spans="1:26" ht="15.75" customHeight="1">
      <c r="A39" s="37"/>
      <c r="B39" s="64"/>
      <c r="C39" s="37"/>
      <c r="D39" s="37"/>
      <c r="E39" s="37"/>
      <c r="F39" s="37"/>
      <c r="G39" s="65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12"/>
    </row>
    <row r="40" spans="1:26" ht="15.75" customHeight="1">
      <c r="A40" s="37"/>
      <c r="B40" s="64"/>
      <c r="C40" s="37"/>
      <c r="D40" s="37"/>
      <c r="E40" s="37"/>
      <c r="F40" s="37"/>
      <c r="G40" s="65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12"/>
    </row>
    <row r="41" spans="1:26" ht="15.75" customHeight="1">
      <c r="A41" s="37"/>
      <c r="B41" s="64"/>
      <c r="C41" s="37"/>
      <c r="D41" s="37"/>
      <c r="E41" s="37"/>
      <c r="F41" s="37"/>
      <c r="G41" s="65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12"/>
    </row>
    <row r="42" spans="1:26" ht="15.75" customHeight="1">
      <c r="A42" s="37"/>
      <c r="B42" s="64"/>
      <c r="C42" s="37"/>
      <c r="D42" s="37"/>
      <c r="E42" s="37"/>
      <c r="F42" s="37"/>
      <c r="G42" s="65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12"/>
    </row>
    <row r="43" spans="1:26" ht="15.75" customHeight="1">
      <c r="A43" s="37"/>
      <c r="B43" s="64"/>
      <c r="C43" s="37"/>
      <c r="D43" s="37"/>
      <c r="E43" s="37"/>
      <c r="F43" s="37"/>
      <c r="G43" s="65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12"/>
    </row>
    <row r="44" spans="1:26" ht="15.75" customHeight="1">
      <c r="A44" s="37"/>
      <c r="B44" s="64"/>
      <c r="C44" s="37"/>
      <c r="D44" s="37"/>
      <c r="E44" s="37"/>
      <c r="F44" s="37"/>
      <c r="G44" s="65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12"/>
    </row>
    <row r="45" spans="1:26" ht="15.75" customHeight="1">
      <c r="A45" s="37"/>
      <c r="B45" s="64"/>
      <c r="C45" s="37"/>
      <c r="D45" s="37"/>
      <c r="E45" s="37"/>
      <c r="F45" s="37"/>
      <c r="G45" s="65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12"/>
    </row>
    <row r="46" spans="1:26" ht="15.75" customHeight="1">
      <c r="A46" s="37"/>
      <c r="B46" s="64"/>
      <c r="C46" s="37"/>
      <c r="D46" s="37"/>
      <c r="E46" s="37"/>
      <c r="F46" s="37"/>
      <c r="G46" s="65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12"/>
    </row>
    <row r="47" spans="1:26" ht="15.75" customHeight="1">
      <c r="A47" s="37"/>
      <c r="B47" s="64"/>
      <c r="C47" s="37"/>
      <c r="D47" s="37"/>
      <c r="E47" s="37"/>
      <c r="F47" s="37"/>
      <c r="G47" s="65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12"/>
    </row>
    <row r="48" spans="1:26" ht="15.75" customHeight="1">
      <c r="A48" s="37"/>
      <c r="B48" s="64"/>
      <c r="C48" s="37"/>
      <c r="D48" s="37"/>
      <c r="E48" s="37"/>
      <c r="F48" s="37"/>
      <c r="G48" s="65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12"/>
    </row>
    <row r="49" spans="1:26" ht="15.75" customHeight="1">
      <c r="A49" s="37"/>
      <c r="B49" s="64"/>
      <c r="C49" s="37"/>
      <c r="D49" s="37"/>
      <c r="E49" s="37"/>
      <c r="F49" s="37"/>
      <c r="G49" s="65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12"/>
    </row>
    <row r="50" spans="1:26" ht="15.75" customHeight="1">
      <c r="A50" s="37"/>
      <c r="B50" s="64"/>
      <c r="C50" s="37"/>
      <c r="D50" s="37"/>
      <c r="E50" s="37"/>
      <c r="F50" s="37"/>
      <c r="G50" s="65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12"/>
    </row>
    <row r="51" spans="1:26" ht="15.75" customHeight="1">
      <c r="A51" s="37"/>
      <c r="B51" s="64"/>
      <c r="C51" s="37"/>
      <c r="D51" s="37"/>
      <c r="E51" s="37"/>
      <c r="F51" s="37"/>
      <c r="G51" s="65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12"/>
    </row>
    <row r="52" spans="1:26" ht="15.75" customHeight="1">
      <c r="A52" s="37"/>
      <c r="B52" s="64"/>
      <c r="C52" s="37"/>
      <c r="D52" s="37"/>
      <c r="E52" s="37"/>
      <c r="F52" s="37"/>
      <c r="G52" s="65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12"/>
    </row>
    <row r="53" spans="1:26" ht="15.75" customHeight="1">
      <c r="A53" s="37"/>
      <c r="B53" s="64"/>
      <c r="C53" s="37"/>
      <c r="D53" s="37"/>
      <c r="E53" s="37"/>
      <c r="F53" s="37"/>
      <c r="G53" s="65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12"/>
    </row>
    <row r="54" spans="1:26" ht="15.75" customHeight="1">
      <c r="A54" s="37"/>
      <c r="B54" s="64"/>
      <c r="C54" s="37"/>
      <c r="D54" s="37"/>
      <c r="E54" s="37"/>
      <c r="F54" s="37"/>
      <c r="G54" s="65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12"/>
    </row>
    <row r="55" spans="1:26" ht="15.75" customHeight="1">
      <c r="A55" s="37"/>
      <c r="B55" s="64"/>
      <c r="C55" s="37"/>
      <c r="D55" s="37"/>
      <c r="E55" s="37"/>
      <c r="F55" s="37"/>
      <c r="G55" s="65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12"/>
    </row>
    <row r="56" spans="1:26" ht="15.75" customHeight="1">
      <c r="A56" s="37"/>
      <c r="B56" s="64"/>
      <c r="C56" s="37"/>
      <c r="D56" s="37"/>
      <c r="E56" s="37"/>
      <c r="F56" s="37"/>
      <c r="G56" s="65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12"/>
    </row>
    <row r="57" spans="1:26" ht="15.75" customHeight="1">
      <c r="A57" s="37"/>
      <c r="B57" s="64"/>
      <c r="C57" s="37"/>
      <c r="D57" s="37"/>
      <c r="E57" s="37"/>
      <c r="F57" s="37"/>
      <c r="G57" s="65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12"/>
    </row>
    <row r="58" spans="1:26" ht="15.75" customHeight="1">
      <c r="A58" s="37"/>
      <c r="B58" s="64"/>
      <c r="C58" s="37"/>
      <c r="D58" s="37"/>
      <c r="E58" s="37"/>
      <c r="F58" s="37"/>
      <c r="G58" s="65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12"/>
    </row>
    <row r="59" spans="1:26" ht="15.75" customHeight="1">
      <c r="A59" s="37"/>
      <c r="B59" s="64"/>
      <c r="C59" s="37"/>
      <c r="D59" s="37"/>
      <c r="E59" s="37"/>
      <c r="F59" s="37"/>
      <c r="G59" s="65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12"/>
    </row>
    <row r="60" spans="1:26" ht="15.75" customHeight="1">
      <c r="A60" s="37"/>
      <c r="B60" s="64"/>
      <c r="C60" s="37"/>
      <c r="D60" s="37"/>
      <c r="E60" s="37"/>
      <c r="F60" s="37"/>
      <c r="G60" s="65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12"/>
    </row>
    <row r="61" spans="1:26" ht="15.75" customHeight="1">
      <c r="A61" s="37"/>
      <c r="B61" s="64"/>
      <c r="C61" s="37"/>
      <c r="D61" s="37"/>
      <c r="E61" s="37"/>
      <c r="F61" s="37"/>
      <c r="G61" s="65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12"/>
    </row>
    <row r="62" spans="1:26" ht="15.75" customHeight="1">
      <c r="A62" s="37"/>
      <c r="B62" s="64"/>
      <c r="C62" s="37"/>
      <c r="D62" s="37"/>
      <c r="E62" s="37"/>
      <c r="F62" s="37"/>
      <c r="G62" s="65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2"/>
    </row>
    <row r="63" spans="1:26" ht="15.75" customHeight="1">
      <c r="A63" s="37"/>
      <c r="B63" s="64"/>
      <c r="C63" s="37"/>
      <c r="D63" s="37"/>
      <c r="E63" s="37"/>
      <c r="F63" s="37"/>
      <c r="G63" s="65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2"/>
    </row>
    <row r="64" spans="1:26" ht="15.75" customHeight="1">
      <c r="A64" s="37"/>
      <c r="B64" s="64"/>
      <c r="C64" s="37"/>
      <c r="D64" s="37"/>
      <c r="E64" s="37"/>
      <c r="F64" s="37"/>
      <c r="G64" s="65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2"/>
    </row>
    <row r="65" spans="1:26" ht="15.75" customHeight="1">
      <c r="A65" s="37"/>
      <c r="B65" s="64"/>
      <c r="C65" s="37"/>
      <c r="D65" s="37"/>
      <c r="E65" s="37"/>
      <c r="F65" s="37"/>
      <c r="G65" s="65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2"/>
    </row>
    <row r="66" spans="1:26" ht="15.75" customHeight="1">
      <c r="A66" s="37"/>
      <c r="B66" s="64"/>
      <c r="C66" s="37"/>
      <c r="D66" s="37"/>
      <c r="E66" s="37"/>
      <c r="F66" s="37"/>
      <c r="G66" s="65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2"/>
    </row>
    <row r="67" spans="1:26" ht="15.75" customHeight="1">
      <c r="A67" s="37"/>
      <c r="B67" s="64"/>
      <c r="C67" s="37"/>
      <c r="D67" s="37"/>
      <c r="E67" s="37"/>
      <c r="F67" s="37"/>
      <c r="G67" s="65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2"/>
    </row>
    <row r="68" spans="1:26" ht="15.75" customHeight="1">
      <c r="A68" s="37"/>
      <c r="B68" s="64"/>
      <c r="C68" s="37"/>
      <c r="D68" s="37"/>
      <c r="E68" s="37"/>
      <c r="F68" s="37"/>
      <c r="G68" s="65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2"/>
    </row>
    <row r="69" spans="1:26" ht="15.75" customHeight="1">
      <c r="A69" s="37"/>
      <c r="B69" s="64"/>
      <c r="C69" s="37"/>
      <c r="D69" s="37"/>
      <c r="E69" s="37"/>
      <c r="F69" s="37"/>
      <c r="G69" s="65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2"/>
    </row>
    <row r="70" spans="1:26" ht="15.75" customHeight="1">
      <c r="A70" s="37"/>
      <c r="B70" s="64"/>
      <c r="C70" s="37"/>
      <c r="D70" s="37"/>
      <c r="E70" s="37"/>
      <c r="F70" s="37"/>
      <c r="G70" s="65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12"/>
    </row>
    <row r="71" spans="1:26" ht="15.75" customHeight="1">
      <c r="A71" s="37"/>
      <c r="B71" s="64"/>
      <c r="C71" s="37"/>
      <c r="D71" s="37"/>
      <c r="E71" s="37"/>
      <c r="F71" s="37"/>
      <c r="G71" s="65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12"/>
    </row>
    <row r="72" spans="1:26" ht="15.75" customHeight="1">
      <c r="A72" s="37"/>
      <c r="B72" s="64"/>
      <c r="C72" s="37"/>
      <c r="D72" s="37"/>
      <c r="E72" s="37"/>
      <c r="F72" s="37"/>
      <c r="G72" s="65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12"/>
    </row>
    <row r="73" spans="1:26" ht="15.75" customHeight="1">
      <c r="A73" s="37"/>
      <c r="B73" s="64"/>
      <c r="C73" s="37"/>
      <c r="D73" s="37"/>
      <c r="E73" s="37"/>
      <c r="F73" s="37"/>
      <c r="G73" s="65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12"/>
    </row>
    <row r="74" spans="1:26" ht="15.75" customHeight="1">
      <c r="A74" s="37"/>
      <c r="B74" s="64"/>
      <c r="C74" s="37"/>
      <c r="D74" s="37"/>
      <c r="E74" s="37"/>
      <c r="F74" s="37"/>
      <c r="G74" s="65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12"/>
    </row>
    <row r="75" spans="1:26" ht="15.75" customHeight="1">
      <c r="A75" s="37"/>
      <c r="B75" s="64"/>
      <c r="C75" s="37"/>
      <c r="D75" s="37"/>
      <c r="E75" s="37"/>
      <c r="F75" s="37"/>
      <c r="G75" s="65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12"/>
    </row>
    <row r="76" spans="1:26" ht="15.75" customHeight="1">
      <c r="A76" s="37"/>
      <c r="B76" s="64"/>
      <c r="C76" s="37"/>
      <c r="D76" s="37"/>
      <c r="E76" s="37"/>
      <c r="F76" s="37"/>
      <c r="G76" s="65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12"/>
    </row>
    <row r="77" spans="1:26" ht="15.75" customHeight="1">
      <c r="A77" s="37"/>
      <c r="B77" s="64"/>
      <c r="C77" s="37"/>
      <c r="D77" s="37"/>
      <c r="E77" s="37"/>
      <c r="F77" s="37"/>
      <c r="G77" s="65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12"/>
    </row>
    <row r="78" spans="1:26" ht="15.75" customHeight="1">
      <c r="A78" s="37"/>
      <c r="B78" s="64"/>
      <c r="C78" s="37"/>
      <c r="D78" s="37"/>
      <c r="E78" s="37"/>
      <c r="F78" s="37"/>
      <c r="G78" s="65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12"/>
    </row>
    <row r="79" spans="1:26" ht="15.75" customHeight="1">
      <c r="A79" s="37"/>
      <c r="B79" s="64"/>
      <c r="C79" s="37"/>
      <c r="D79" s="37"/>
      <c r="E79" s="37"/>
      <c r="F79" s="37"/>
      <c r="G79" s="65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12"/>
    </row>
    <row r="80" spans="1:26" ht="15.75" customHeight="1">
      <c r="A80" s="37"/>
      <c r="B80" s="64"/>
      <c r="C80" s="37"/>
      <c r="D80" s="37"/>
      <c r="E80" s="37"/>
      <c r="F80" s="37"/>
      <c r="G80" s="65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12"/>
    </row>
    <row r="81" spans="1:26" ht="15.75" customHeight="1">
      <c r="A81" s="37"/>
      <c r="B81" s="64"/>
      <c r="C81" s="37"/>
      <c r="D81" s="37"/>
      <c r="E81" s="37"/>
      <c r="F81" s="37"/>
      <c r="G81" s="65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12"/>
    </row>
    <row r="82" spans="1:26" ht="15.75" customHeight="1">
      <c r="A82" s="37"/>
      <c r="B82" s="64"/>
      <c r="C82" s="37"/>
      <c r="D82" s="37"/>
      <c r="E82" s="37"/>
      <c r="F82" s="37"/>
      <c r="G82" s="65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12"/>
    </row>
    <row r="83" spans="1:26" ht="15.75" customHeight="1">
      <c r="A83" s="37"/>
      <c r="B83" s="64"/>
      <c r="C83" s="37"/>
      <c r="D83" s="37"/>
      <c r="E83" s="37"/>
      <c r="F83" s="37"/>
      <c r="G83" s="65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12"/>
    </row>
    <row r="84" spans="1:26" ht="15.75" customHeight="1">
      <c r="A84" s="37"/>
      <c r="B84" s="64"/>
      <c r="C84" s="37"/>
      <c r="D84" s="37"/>
      <c r="E84" s="37"/>
      <c r="F84" s="37"/>
      <c r="G84" s="65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12"/>
    </row>
    <row r="85" spans="1:26" ht="15.75" customHeight="1">
      <c r="A85" s="37"/>
      <c r="B85" s="64"/>
      <c r="C85" s="37"/>
      <c r="D85" s="37"/>
      <c r="E85" s="37"/>
      <c r="F85" s="37"/>
      <c r="G85" s="65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12"/>
    </row>
    <row r="86" spans="1:26" ht="15.75" customHeight="1">
      <c r="A86" s="37"/>
      <c r="B86" s="64"/>
      <c r="C86" s="37"/>
      <c r="D86" s="37"/>
      <c r="E86" s="37"/>
      <c r="F86" s="37"/>
      <c r="G86" s="65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12"/>
    </row>
    <row r="87" spans="1:26" ht="15.75" customHeight="1">
      <c r="A87" s="37"/>
      <c r="B87" s="64"/>
      <c r="C87" s="37"/>
      <c r="D87" s="37"/>
      <c r="E87" s="37"/>
      <c r="F87" s="37"/>
      <c r="G87" s="65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12"/>
    </row>
    <row r="88" spans="1:26" ht="15.75" customHeight="1">
      <c r="A88" s="37"/>
      <c r="B88" s="64"/>
      <c r="C88" s="37"/>
      <c r="D88" s="37"/>
      <c r="E88" s="37"/>
      <c r="F88" s="37"/>
      <c r="G88" s="65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12"/>
    </row>
    <row r="89" spans="1:26" ht="15.75" customHeight="1">
      <c r="A89" s="37"/>
      <c r="B89" s="64"/>
      <c r="C89" s="37"/>
      <c r="D89" s="37"/>
      <c r="E89" s="37"/>
      <c r="F89" s="37"/>
      <c r="G89" s="65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12"/>
    </row>
    <row r="90" spans="1:26" ht="15.75" customHeight="1">
      <c r="A90" s="37"/>
      <c r="B90" s="64"/>
      <c r="C90" s="37"/>
      <c r="D90" s="37"/>
      <c r="E90" s="37"/>
      <c r="F90" s="37"/>
      <c r="G90" s="65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12"/>
    </row>
    <row r="91" spans="1:26" ht="15.75" customHeight="1">
      <c r="A91" s="37"/>
      <c r="B91" s="64"/>
      <c r="C91" s="37"/>
      <c r="D91" s="37"/>
      <c r="E91" s="37"/>
      <c r="F91" s="37"/>
      <c r="G91" s="65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12"/>
    </row>
    <row r="92" spans="1:26" ht="15.75" customHeight="1">
      <c r="A92" s="37"/>
      <c r="B92" s="64"/>
      <c r="C92" s="37"/>
      <c r="D92" s="37"/>
      <c r="E92" s="37"/>
      <c r="F92" s="37"/>
      <c r="G92" s="65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12"/>
    </row>
    <row r="93" spans="1:26" ht="15.75" customHeight="1">
      <c r="A93" s="37"/>
      <c r="B93" s="64"/>
      <c r="C93" s="37"/>
      <c r="D93" s="37"/>
      <c r="E93" s="37"/>
      <c r="F93" s="37"/>
      <c r="G93" s="65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12"/>
    </row>
    <row r="94" spans="1:26" ht="15.75" customHeight="1">
      <c r="A94" s="37"/>
      <c r="B94" s="64"/>
      <c r="C94" s="37"/>
      <c r="D94" s="37"/>
      <c r="E94" s="37"/>
      <c r="F94" s="37"/>
      <c r="G94" s="65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12"/>
    </row>
    <row r="95" spans="1:26" ht="15.75" customHeight="1">
      <c r="A95" s="37"/>
      <c r="B95" s="64"/>
      <c r="C95" s="37"/>
      <c r="D95" s="37"/>
      <c r="E95" s="37"/>
      <c r="F95" s="37"/>
      <c r="G95" s="65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12"/>
    </row>
    <row r="96" spans="1:26" ht="15.75" customHeight="1">
      <c r="A96" s="37"/>
      <c r="B96" s="64"/>
      <c r="C96" s="37"/>
      <c r="D96" s="37"/>
      <c r="E96" s="37"/>
      <c r="F96" s="37"/>
      <c r="G96" s="65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12"/>
    </row>
    <row r="97" spans="1:26" ht="15.75" customHeight="1">
      <c r="A97" s="37"/>
      <c r="B97" s="64"/>
      <c r="C97" s="37"/>
      <c r="D97" s="37"/>
      <c r="E97" s="37"/>
      <c r="F97" s="37"/>
      <c r="G97" s="65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12"/>
    </row>
    <row r="98" spans="1:26" ht="15.75" customHeight="1">
      <c r="A98" s="37"/>
      <c r="B98" s="64"/>
      <c r="C98" s="37"/>
      <c r="D98" s="37"/>
      <c r="E98" s="37"/>
      <c r="F98" s="37"/>
      <c r="G98" s="65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12"/>
    </row>
    <row r="99" spans="1:26" ht="15.75" customHeight="1">
      <c r="A99" s="37"/>
      <c r="B99" s="64"/>
      <c r="C99" s="37"/>
      <c r="D99" s="37"/>
      <c r="E99" s="37"/>
      <c r="F99" s="37"/>
      <c r="G99" s="65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12"/>
    </row>
    <row r="100" spans="1:26" ht="15.75" customHeight="1">
      <c r="A100" s="37"/>
      <c r="B100" s="64"/>
      <c r="C100" s="37"/>
      <c r="D100" s="37"/>
      <c r="E100" s="37"/>
      <c r="F100" s="37"/>
      <c r="G100" s="65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2"/>
    </row>
    <row r="101" spans="1:26" ht="15.75" customHeight="1">
      <c r="A101" s="37"/>
      <c r="B101" s="64"/>
      <c r="C101" s="37"/>
      <c r="D101" s="37"/>
      <c r="E101" s="37"/>
      <c r="F101" s="37"/>
      <c r="G101" s="65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12"/>
    </row>
    <row r="102" spans="1:26" ht="15.75" customHeight="1">
      <c r="A102" s="37"/>
      <c r="B102" s="64"/>
      <c r="C102" s="37"/>
      <c r="D102" s="37"/>
      <c r="E102" s="37"/>
      <c r="F102" s="37"/>
      <c r="G102" s="65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12"/>
    </row>
    <row r="103" spans="1:26" ht="15.75" customHeight="1">
      <c r="A103" s="37"/>
      <c r="B103" s="64"/>
      <c r="C103" s="37"/>
      <c r="D103" s="37"/>
      <c r="E103" s="37"/>
      <c r="F103" s="37"/>
      <c r="G103" s="65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12"/>
    </row>
    <row r="104" spans="1:26" ht="15.75" customHeight="1">
      <c r="A104" s="37"/>
      <c r="B104" s="64"/>
      <c r="C104" s="37"/>
      <c r="D104" s="37"/>
      <c r="E104" s="37"/>
      <c r="F104" s="37"/>
      <c r="G104" s="65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12"/>
    </row>
    <row r="105" spans="1:26" ht="15.75" customHeight="1">
      <c r="A105" s="37"/>
      <c r="B105" s="64"/>
      <c r="C105" s="37"/>
      <c r="D105" s="37"/>
      <c r="E105" s="37"/>
      <c r="F105" s="37"/>
      <c r="G105" s="65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12"/>
    </row>
    <row r="106" spans="1:26" ht="15.75" customHeight="1">
      <c r="A106" s="37"/>
      <c r="B106" s="64"/>
      <c r="C106" s="37"/>
      <c r="D106" s="37"/>
      <c r="E106" s="37"/>
      <c r="F106" s="37"/>
      <c r="G106" s="65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12"/>
    </row>
    <row r="107" spans="1:26" ht="15.75" customHeight="1">
      <c r="A107" s="37"/>
      <c r="B107" s="64"/>
      <c r="C107" s="37"/>
      <c r="D107" s="37"/>
      <c r="E107" s="37"/>
      <c r="F107" s="37"/>
      <c r="G107" s="65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12"/>
    </row>
    <row r="108" spans="1:26" ht="15.75" customHeight="1">
      <c r="A108" s="37"/>
      <c r="B108" s="64"/>
      <c r="C108" s="37"/>
      <c r="D108" s="37"/>
      <c r="E108" s="37"/>
      <c r="F108" s="37"/>
      <c r="G108" s="65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12"/>
    </row>
    <row r="109" spans="1:26" ht="15.75" customHeight="1">
      <c r="A109" s="37"/>
      <c r="B109" s="64"/>
      <c r="C109" s="37"/>
      <c r="D109" s="37"/>
      <c r="E109" s="37"/>
      <c r="F109" s="37"/>
      <c r="G109" s="65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12"/>
    </row>
    <row r="110" spans="1:26" ht="15.75" customHeight="1">
      <c r="A110" s="37"/>
      <c r="B110" s="64"/>
      <c r="C110" s="37"/>
      <c r="D110" s="37"/>
      <c r="E110" s="37"/>
      <c r="F110" s="37"/>
      <c r="G110" s="65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12"/>
    </row>
    <row r="111" spans="1:26" ht="15.75" customHeight="1">
      <c r="A111" s="37"/>
      <c r="B111" s="64"/>
      <c r="C111" s="37"/>
      <c r="D111" s="37"/>
      <c r="E111" s="37"/>
      <c r="F111" s="37"/>
      <c r="G111" s="65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12"/>
    </row>
    <row r="112" spans="1:26" ht="15.75" customHeight="1">
      <c r="A112" s="37"/>
      <c r="B112" s="64"/>
      <c r="C112" s="37"/>
      <c r="D112" s="37"/>
      <c r="E112" s="37"/>
      <c r="F112" s="37"/>
      <c r="G112" s="65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12"/>
    </row>
    <row r="113" spans="1:26" ht="15.75" customHeight="1">
      <c r="A113" s="37"/>
      <c r="B113" s="64"/>
      <c r="C113" s="37"/>
      <c r="D113" s="37"/>
      <c r="E113" s="37"/>
      <c r="F113" s="37"/>
      <c r="G113" s="65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12"/>
    </row>
    <row r="114" spans="1:26" ht="15.75" customHeight="1">
      <c r="A114" s="37"/>
      <c r="B114" s="64"/>
      <c r="C114" s="37"/>
      <c r="D114" s="37"/>
      <c r="E114" s="37"/>
      <c r="F114" s="37"/>
      <c r="G114" s="65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12"/>
    </row>
    <row r="115" spans="1:26" ht="15.75" customHeight="1">
      <c r="A115" s="37"/>
      <c r="B115" s="64"/>
      <c r="C115" s="37"/>
      <c r="D115" s="37"/>
      <c r="E115" s="37"/>
      <c r="F115" s="37"/>
      <c r="G115" s="65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12"/>
    </row>
    <row r="116" spans="1:26" ht="15.75" customHeight="1">
      <c r="A116" s="37"/>
      <c r="B116" s="64"/>
      <c r="C116" s="37"/>
      <c r="D116" s="37"/>
      <c r="E116" s="37"/>
      <c r="F116" s="37"/>
      <c r="G116" s="65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12"/>
    </row>
    <row r="117" spans="1:26" ht="15.75" customHeight="1">
      <c r="A117" s="37"/>
      <c r="B117" s="64"/>
      <c r="C117" s="37"/>
      <c r="D117" s="37"/>
      <c r="E117" s="37"/>
      <c r="F117" s="37"/>
      <c r="G117" s="65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12"/>
    </row>
    <row r="118" spans="1:26" ht="15.75" customHeight="1">
      <c r="A118" s="37"/>
      <c r="B118" s="64"/>
      <c r="C118" s="37"/>
      <c r="D118" s="37"/>
      <c r="E118" s="37"/>
      <c r="F118" s="37"/>
      <c r="G118" s="65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12"/>
    </row>
    <row r="119" spans="1:26" ht="15.75" customHeight="1">
      <c r="A119" s="37"/>
      <c r="B119" s="64"/>
      <c r="C119" s="37"/>
      <c r="D119" s="37"/>
      <c r="E119" s="37"/>
      <c r="F119" s="37"/>
      <c r="G119" s="65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12"/>
    </row>
    <row r="120" spans="1:26" ht="15.75" customHeight="1">
      <c r="A120" s="37"/>
      <c r="B120" s="64"/>
      <c r="C120" s="37"/>
      <c r="D120" s="37"/>
      <c r="E120" s="37"/>
      <c r="F120" s="37"/>
      <c r="G120" s="65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12"/>
    </row>
    <row r="121" spans="1:26" ht="15.75" customHeight="1">
      <c r="A121" s="37"/>
      <c r="B121" s="64"/>
      <c r="C121" s="37"/>
      <c r="D121" s="37"/>
      <c r="E121" s="37"/>
      <c r="F121" s="37"/>
      <c r="G121" s="65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12"/>
    </row>
    <row r="122" spans="1:26" ht="15.75" customHeight="1">
      <c r="A122" s="37"/>
      <c r="B122" s="64"/>
      <c r="C122" s="37"/>
      <c r="D122" s="37"/>
      <c r="E122" s="37"/>
      <c r="F122" s="37"/>
      <c r="G122" s="65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12"/>
    </row>
    <row r="123" spans="1:26" ht="15.75" customHeight="1">
      <c r="A123" s="37"/>
      <c r="B123" s="64"/>
      <c r="C123" s="37"/>
      <c r="D123" s="37"/>
      <c r="E123" s="37"/>
      <c r="F123" s="37"/>
      <c r="G123" s="65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12"/>
    </row>
    <row r="124" spans="1:26" ht="15.75" customHeight="1">
      <c r="A124" s="37"/>
      <c r="B124" s="64"/>
      <c r="C124" s="37"/>
      <c r="D124" s="37"/>
      <c r="E124" s="37"/>
      <c r="F124" s="37"/>
      <c r="G124" s="65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12"/>
    </row>
    <row r="125" spans="1:26" ht="15.75" customHeight="1">
      <c r="A125" s="37"/>
      <c r="B125" s="64"/>
      <c r="C125" s="37"/>
      <c r="D125" s="37"/>
      <c r="E125" s="37"/>
      <c r="F125" s="37"/>
      <c r="G125" s="65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12"/>
    </row>
    <row r="126" spans="1:26" ht="15.75" customHeight="1">
      <c r="A126" s="37"/>
      <c r="B126" s="64"/>
      <c r="C126" s="37"/>
      <c r="D126" s="37"/>
      <c r="E126" s="37"/>
      <c r="F126" s="37"/>
      <c r="G126" s="65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12"/>
    </row>
    <row r="127" spans="1:26" ht="15.75" customHeight="1">
      <c r="A127" s="37"/>
      <c r="B127" s="64"/>
      <c r="C127" s="37"/>
      <c r="D127" s="37"/>
      <c r="E127" s="37"/>
      <c r="F127" s="37"/>
      <c r="G127" s="65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12"/>
    </row>
    <row r="128" spans="1:26" ht="15.75" customHeight="1">
      <c r="A128" s="37"/>
      <c r="B128" s="64"/>
      <c r="C128" s="37"/>
      <c r="D128" s="37"/>
      <c r="E128" s="37"/>
      <c r="F128" s="37"/>
      <c r="G128" s="65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12"/>
    </row>
    <row r="129" spans="1:26" ht="15.75" customHeight="1">
      <c r="A129" s="37"/>
      <c r="B129" s="64"/>
      <c r="C129" s="37"/>
      <c r="D129" s="37"/>
      <c r="E129" s="37"/>
      <c r="F129" s="37"/>
      <c r="G129" s="65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12"/>
    </row>
    <row r="130" spans="1:26" ht="15.75" customHeight="1">
      <c r="A130" s="37"/>
      <c r="B130" s="64"/>
      <c r="C130" s="37"/>
      <c r="D130" s="37"/>
      <c r="E130" s="37"/>
      <c r="F130" s="37"/>
      <c r="G130" s="65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12"/>
    </row>
    <row r="131" spans="1:26" ht="15.75" customHeight="1">
      <c r="A131" s="37"/>
      <c r="B131" s="64"/>
      <c r="C131" s="37"/>
      <c r="D131" s="37"/>
      <c r="E131" s="37"/>
      <c r="F131" s="37"/>
      <c r="G131" s="65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12"/>
    </row>
    <row r="132" spans="1:26" ht="15.75" customHeight="1">
      <c r="A132" s="37"/>
      <c r="B132" s="64"/>
      <c r="C132" s="37"/>
      <c r="D132" s="37"/>
      <c r="E132" s="37"/>
      <c r="F132" s="37"/>
      <c r="G132" s="65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12"/>
    </row>
    <row r="133" spans="1:26" ht="15.75" customHeight="1">
      <c r="A133" s="37"/>
      <c r="B133" s="64"/>
      <c r="C133" s="37"/>
      <c r="D133" s="37"/>
      <c r="E133" s="37"/>
      <c r="F133" s="37"/>
      <c r="G133" s="65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12"/>
    </row>
    <row r="134" spans="1:26" ht="15.75" customHeight="1">
      <c r="A134" s="37"/>
      <c r="B134" s="64"/>
      <c r="C134" s="37"/>
      <c r="D134" s="37"/>
      <c r="E134" s="37"/>
      <c r="F134" s="37"/>
      <c r="G134" s="65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12"/>
    </row>
    <row r="135" spans="1:26" ht="15.75" customHeight="1">
      <c r="A135" s="37"/>
      <c r="B135" s="64"/>
      <c r="C135" s="37"/>
      <c r="D135" s="37"/>
      <c r="E135" s="37"/>
      <c r="F135" s="37"/>
      <c r="G135" s="65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12"/>
    </row>
    <row r="136" spans="1:26" ht="15.75" customHeight="1">
      <c r="A136" s="37"/>
      <c r="B136" s="64"/>
      <c r="C136" s="37"/>
      <c r="D136" s="37"/>
      <c r="E136" s="37"/>
      <c r="F136" s="37"/>
      <c r="G136" s="65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12"/>
    </row>
    <row r="137" spans="1:26" ht="15.75" customHeight="1">
      <c r="A137" s="37"/>
      <c r="B137" s="64"/>
      <c r="C137" s="37"/>
      <c r="D137" s="37"/>
      <c r="E137" s="37"/>
      <c r="F137" s="37"/>
      <c r="G137" s="65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12"/>
    </row>
    <row r="138" spans="1:26" ht="15.75" customHeight="1">
      <c r="A138" s="37"/>
      <c r="B138" s="64"/>
      <c r="C138" s="37"/>
      <c r="D138" s="37"/>
      <c r="E138" s="37"/>
      <c r="F138" s="37"/>
      <c r="G138" s="65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2"/>
    </row>
    <row r="139" spans="1:26" ht="15.75" customHeight="1">
      <c r="A139" s="37"/>
      <c r="B139" s="64"/>
      <c r="C139" s="37"/>
      <c r="D139" s="37"/>
      <c r="E139" s="37"/>
      <c r="F139" s="37"/>
      <c r="G139" s="65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12"/>
    </row>
    <row r="140" spans="1:26" ht="15.75" customHeight="1">
      <c r="A140" s="37"/>
      <c r="B140" s="64"/>
      <c r="C140" s="37"/>
      <c r="D140" s="37"/>
      <c r="E140" s="37"/>
      <c r="F140" s="37"/>
      <c r="G140" s="65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12"/>
    </row>
    <row r="141" spans="1:26" ht="15.75" customHeight="1">
      <c r="A141" s="37"/>
      <c r="B141" s="64"/>
      <c r="C141" s="37"/>
      <c r="D141" s="37"/>
      <c r="E141" s="37"/>
      <c r="F141" s="37"/>
      <c r="G141" s="65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12"/>
    </row>
    <row r="142" spans="1:26" ht="15.75" customHeight="1">
      <c r="A142" s="37"/>
      <c r="B142" s="64"/>
      <c r="C142" s="37"/>
      <c r="D142" s="37"/>
      <c r="E142" s="37"/>
      <c r="F142" s="37"/>
      <c r="G142" s="6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12"/>
    </row>
    <row r="143" spans="1:26" ht="15.75" customHeight="1">
      <c r="A143" s="37"/>
      <c r="B143" s="64"/>
      <c r="C143" s="37"/>
      <c r="D143" s="37"/>
      <c r="E143" s="37"/>
      <c r="F143" s="37"/>
      <c r="G143" s="65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12"/>
    </row>
    <row r="144" spans="1:26" ht="15.75" customHeight="1">
      <c r="A144" s="37"/>
      <c r="B144" s="64"/>
      <c r="C144" s="37"/>
      <c r="D144" s="37"/>
      <c r="E144" s="37"/>
      <c r="F144" s="37"/>
      <c r="G144" s="65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12"/>
    </row>
    <row r="145" spans="1:26" ht="15.75" customHeight="1">
      <c r="A145" s="37"/>
      <c r="B145" s="64"/>
      <c r="C145" s="37"/>
      <c r="D145" s="37"/>
      <c r="E145" s="37"/>
      <c r="F145" s="37"/>
      <c r="G145" s="65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12"/>
    </row>
    <row r="146" spans="1:26" ht="15.75" customHeight="1">
      <c r="A146" s="37"/>
      <c r="B146" s="64"/>
      <c r="C146" s="37"/>
      <c r="D146" s="37"/>
      <c r="E146" s="37"/>
      <c r="F146" s="37"/>
      <c r="G146" s="65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12"/>
    </row>
    <row r="147" spans="1:26" ht="15.75" customHeight="1">
      <c r="A147" s="37"/>
      <c r="B147" s="64"/>
      <c r="C147" s="37"/>
      <c r="D147" s="37"/>
      <c r="E147" s="37"/>
      <c r="F147" s="37"/>
      <c r="G147" s="65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12"/>
    </row>
    <row r="148" spans="1:26" ht="15.75" customHeight="1">
      <c r="A148" s="37"/>
      <c r="B148" s="64"/>
      <c r="C148" s="37"/>
      <c r="D148" s="37"/>
      <c r="E148" s="37"/>
      <c r="F148" s="37"/>
      <c r="G148" s="65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12"/>
    </row>
    <row r="149" spans="1:26" ht="15.75" customHeight="1">
      <c r="A149" s="37"/>
      <c r="B149" s="64"/>
      <c r="C149" s="37"/>
      <c r="D149" s="37"/>
      <c r="E149" s="37"/>
      <c r="F149" s="37"/>
      <c r="G149" s="65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12"/>
    </row>
    <row r="150" spans="1:26" ht="15.75" customHeight="1">
      <c r="A150" s="37"/>
      <c r="B150" s="64"/>
      <c r="C150" s="37"/>
      <c r="D150" s="37"/>
      <c r="E150" s="37"/>
      <c r="F150" s="37"/>
      <c r="G150" s="65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12"/>
    </row>
    <row r="151" spans="1:26" ht="15.75" customHeight="1">
      <c r="A151" s="37"/>
      <c r="B151" s="64"/>
      <c r="C151" s="37"/>
      <c r="D151" s="37"/>
      <c r="E151" s="37"/>
      <c r="F151" s="37"/>
      <c r="G151" s="65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12"/>
    </row>
    <row r="152" spans="1:26" ht="15.75" customHeight="1">
      <c r="A152" s="37"/>
      <c r="B152" s="64"/>
      <c r="C152" s="37"/>
      <c r="D152" s="37"/>
      <c r="E152" s="37"/>
      <c r="F152" s="37"/>
      <c r="G152" s="65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12"/>
    </row>
    <row r="153" spans="1:26" ht="15.75" customHeight="1">
      <c r="A153" s="37"/>
      <c r="B153" s="64"/>
      <c r="C153" s="37"/>
      <c r="D153" s="37"/>
      <c r="E153" s="37"/>
      <c r="F153" s="37"/>
      <c r="G153" s="65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12"/>
    </row>
    <row r="154" spans="1:26" ht="15.75" customHeight="1">
      <c r="A154" s="37"/>
      <c r="B154" s="64"/>
      <c r="C154" s="37"/>
      <c r="D154" s="37"/>
      <c r="E154" s="37"/>
      <c r="F154" s="37"/>
      <c r="G154" s="65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12"/>
    </row>
    <row r="155" spans="1:26" ht="15.75" customHeight="1">
      <c r="A155" s="37"/>
      <c r="B155" s="64"/>
      <c r="C155" s="37"/>
      <c r="D155" s="37"/>
      <c r="E155" s="37"/>
      <c r="F155" s="37"/>
      <c r="G155" s="65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12"/>
    </row>
    <row r="156" spans="1:26" ht="15.75" customHeight="1">
      <c r="A156" s="37"/>
      <c r="B156" s="64"/>
      <c r="C156" s="37"/>
      <c r="D156" s="37"/>
      <c r="E156" s="37"/>
      <c r="F156" s="37"/>
      <c r="G156" s="65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12"/>
    </row>
    <row r="157" spans="1:26" ht="15.75" customHeight="1">
      <c r="A157" s="37"/>
      <c r="B157" s="64"/>
      <c r="C157" s="37"/>
      <c r="D157" s="37"/>
      <c r="E157" s="37"/>
      <c r="F157" s="37"/>
      <c r="G157" s="65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12"/>
    </row>
    <row r="158" spans="1:26" ht="15.75" customHeight="1">
      <c r="A158" s="37"/>
      <c r="B158" s="64"/>
      <c r="C158" s="37"/>
      <c r="D158" s="37"/>
      <c r="E158" s="37"/>
      <c r="F158" s="37"/>
      <c r="G158" s="65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12"/>
    </row>
    <row r="159" spans="1:26" ht="15.75" customHeight="1">
      <c r="A159" s="37"/>
      <c r="B159" s="64"/>
      <c r="C159" s="37"/>
      <c r="D159" s="37"/>
      <c r="E159" s="37"/>
      <c r="F159" s="37"/>
      <c r="G159" s="65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12"/>
    </row>
    <row r="160" spans="1:26" ht="15.75" customHeight="1">
      <c r="A160" s="37"/>
      <c r="B160" s="64"/>
      <c r="C160" s="37"/>
      <c r="D160" s="37"/>
      <c r="E160" s="37"/>
      <c r="F160" s="37"/>
      <c r="G160" s="65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12"/>
    </row>
    <row r="161" spans="1:26" ht="15.75" customHeight="1">
      <c r="A161" s="37"/>
      <c r="B161" s="64"/>
      <c r="C161" s="37"/>
      <c r="D161" s="37"/>
      <c r="E161" s="37"/>
      <c r="F161" s="37"/>
      <c r="G161" s="65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12"/>
    </row>
    <row r="162" spans="1:26" ht="15.75" customHeight="1">
      <c r="A162" s="37"/>
      <c r="B162" s="64"/>
      <c r="C162" s="37"/>
      <c r="D162" s="37"/>
      <c r="E162" s="37"/>
      <c r="F162" s="37"/>
      <c r="G162" s="65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12"/>
    </row>
    <row r="163" spans="1:26" ht="15.75" customHeight="1">
      <c r="A163" s="37"/>
      <c r="B163" s="64"/>
      <c r="C163" s="37"/>
      <c r="D163" s="37"/>
      <c r="E163" s="37"/>
      <c r="F163" s="37"/>
      <c r="G163" s="65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12"/>
    </row>
    <row r="164" spans="1:26" ht="15.75" customHeight="1">
      <c r="A164" s="37"/>
      <c r="B164" s="64"/>
      <c r="C164" s="37"/>
      <c r="D164" s="37"/>
      <c r="E164" s="37"/>
      <c r="F164" s="37"/>
      <c r="G164" s="65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12"/>
    </row>
    <row r="165" spans="1:26" ht="15.75" customHeight="1">
      <c r="A165" s="37"/>
      <c r="B165" s="64"/>
      <c r="C165" s="37"/>
      <c r="D165" s="37"/>
      <c r="E165" s="37"/>
      <c r="F165" s="37"/>
      <c r="G165" s="65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12"/>
    </row>
    <row r="166" spans="1:26" ht="15.75" customHeight="1">
      <c r="A166" s="37"/>
      <c r="B166" s="64"/>
      <c r="C166" s="37"/>
      <c r="D166" s="37"/>
      <c r="E166" s="37"/>
      <c r="F166" s="37"/>
      <c r="G166" s="65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12"/>
    </row>
    <row r="167" spans="1:26" ht="15.75" customHeight="1">
      <c r="A167" s="37"/>
      <c r="B167" s="64"/>
      <c r="C167" s="37"/>
      <c r="D167" s="37"/>
      <c r="E167" s="37"/>
      <c r="F167" s="37"/>
      <c r="G167" s="65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12"/>
    </row>
    <row r="168" spans="1:26" ht="15.75" customHeight="1">
      <c r="A168" s="37"/>
      <c r="B168" s="64"/>
      <c r="C168" s="37"/>
      <c r="D168" s="37"/>
      <c r="E168" s="37"/>
      <c r="F168" s="37"/>
      <c r="G168" s="65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12"/>
    </row>
    <row r="169" spans="1:26" ht="15.75" customHeight="1">
      <c r="A169" s="37"/>
      <c r="B169" s="64"/>
      <c r="C169" s="37"/>
      <c r="D169" s="37"/>
      <c r="E169" s="37"/>
      <c r="F169" s="37"/>
      <c r="G169" s="65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12"/>
    </row>
    <row r="170" spans="1:26" ht="15.75" customHeight="1">
      <c r="A170" s="37"/>
      <c r="B170" s="64"/>
      <c r="C170" s="37"/>
      <c r="D170" s="37"/>
      <c r="E170" s="37"/>
      <c r="F170" s="37"/>
      <c r="G170" s="65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12"/>
    </row>
    <row r="171" spans="1:26" ht="15.75" customHeight="1">
      <c r="A171" s="37"/>
      <c r="B171" s="64"/>
      <c r="C171" s="37"/>
      <c r="D171" s="37"/>
      <c r="E171" s="37"/>
      <c r="F171" s="37"/>
      <c r="G171" s="65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12"/>
    </row>
    <row r="172" spans="1:26" ht="15.75" customHeight="1">
      <c r="A172" s="37"/>
      <c r="B172" s="64"/>
      <c r="C172" s="37"/>
      <c r="D172" s="37"/>
      <c r="E172" s="37"/>
      <c r="F172" s="37"/>
      <c r="G172" s="65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12"/>
    </row>
    <row r="173" spans="1:26" ht="15.75" customHeight="1">
      <c r="A173" s="37"/>
      <c r="B173" s="64"/>
      <c r="C173" s="37"/>
      <c r="D173" s="37"/>
      <c r="E173" s="37"/>
      <c r="F173" s="37"/>
      <c r="G173" s="65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12"/>
    </row>
    <row r="174" spans="1:26" ht="15.75" customHeight="1">
      <c r="A174" s="37"/>
      <c r="B174" s="64"/>
      <c r="C174" s="37"/>
      <c r="D174" s="37"/>
      <c r="E174" s="37"/>
      <c r="F174" s="37"/>
      <c r="G174" s="65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12"/>
    </row>
    <row r="175" spans="1:26" ht="15.75" customHeight="1">
      <c r="A175" s="37"/>
      <c r="B175" s="64"/>
      <c r="C175" s="37"/>
      <c r="D175" s="37"/>
      <c r="E175" s="37"/>
      <c r="F175" s="37"/>
      <c r="G175" s="65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12"/>
    </row>
    <row r="176" spans="1:26" ht="15.75" customHeight="1">
      <c r="A176" s="37"/>
      <c r="B176" s="64"/>
      <c r="C176" s="37"/>
      <c r="D176" s="37"/>
      <c r="E176" s="37"/>
      <c r="F176" s="37"/>
      <c r="G176" s="65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2"/>
    </row>
    <row r="177" spans="1:26" ht="15.75" customHeight="1">
      <c r="A177" s="37"/>
      <c r="B177" s="64"/>
      <c r="C177" s="37"/>
      <c r="D177" s="37"/>
      <c r="E177" s="37"/>
      <c r="F177" s="37"/>
      <c r="G177" s="65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12"/>
    </row>
    <row r="178" spans="1:26" ht="15.75" customHeight="1">
      <c r="A178" s="37"/>
      <c r="B178" s="64"/>
      <c r="C178" s="37"/>
      <c r="D178" s="37"/>
      <c r="E178" s="37"/>
      <c r="F178" s="37"/>
      <c r="G178" s="65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12"/>
    </row>
    <row r="179" spans="1:26" ht="15.75" customHeight="1">
      <c r="A179" s="37"/>
      <c r="B179" s="64"/>
      <c r="C179" s="37"/>
      <c r="D179" s="37"/>
      <c r="E179" s="37"/>
      <c r="F179" s="37"/>
      <c r="G179" s="65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12"/>
    </row>
    <row r="180" spans="1:26" ht="15.75" customHeight="1">
      <c r="A180" s="37"/>
      <c r="B180" s="64"/>
      <c r="C180" s="37"/>
      <c r="D180" s="37"/>
      <c r="E180" s="37"/>
      <c r="F180" s="37"/>
      <c r="G180" s="65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12"/>
    </row>
    <row r="181" spans="1:26" ht="15.75" customHeight="1">
      <c r="A181" s="37"/>
      <c r="B181" s="64"/>
      <c r="C181" s="37"/>
      <c r="D181" s="37"/>
      <c r="E181" s="37"/>
      <c r="F181" s="37"/>
      <c r="G181" s="65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12"/>
    </row>
    <row r="182" spans="1:26" ht="15.75" customHeight="1">
      <c r="A182" s="37"/>
      <c r="B182" s="64"/>
      <c r="C182" s="37"/>
      <c r="D182" s="37"/>
      <c r="E182" s="37"/>
      <c r="F182" s="37"/>
      <c r="G182" s="65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12"/>
    </row>
    <row r="183" spans="1:26" ht="15.75" customHeight="1">
      <c r="A183" s="37"/>
      <c r="B183" s="64"/>
      <c r="C183" s="37"/>
      <c r="D183" s="37"/>
      <c r="E183" s="37"/>
      <c r="F183" s="37"/>
      <c r="G183" s="65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12"/>
    </row>
    <row r="184" spans="1:26" ht="15.75" customHeight="1">
      <c r="A184" s="37"/>
      <c r="B184" s="64"/>
      <c r="C184" s="37"/>
      <c r="D184" s="37"/>
      <c r="E184" s="37"/>
      <c r="F184" s="37"/>
      <c r="G184" s="65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12"/>
    </row>
    <row r="185" spans="1:26" ht="15.75" customHeight="1">
      <c r="A185" s="37"/>
      <c r="B185" s="64"/>
      <c r="C185" s="37"/>
      <c r="D185" s="37"/>
      <c r="E185" s="37"/>
      <c r="F185" s="37"/>
      <c r="G185" s="65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12"/>
    </row>
    <row r="186" spans="1:26" ht="15.75" customHeight="1">
      <c r="A186" s="37"/>
      <c r="B186" s="64"/>
      <c r="C186" s="37"/>
      <c r="D186" s="37"/>
      <c r="E186" s="37"/>
      <c r="F186" s="37"/>
      <c r="G186" s="65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12"/>
    </row>
    <row r="187" spans="1:26" ht="15.75" customHeight="1">
      <c r="A187" s="37"/>
      <c r="B187" s="64"/>
      <c r="C187" s="37"/>
      <c r="D187" s="37"/>
      <c r="E187" s="37"/>
      <c r="F187" s="37"/>
      <c r="G187" s="65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12"/>
    </row>
    <row r="188" spans="1:26" ht="15.75" customHeight="1">
      <c r="A188" s="37"/>
      <c r="B188" s="64"/>
      <c r="C188" s="37"/>
      <c r="D188" s="37"/>
      <c r="E188" s="37"/>
      <c r="F188" s="37"/>
      <c r="G188" s="65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12"/>
    </row>
    <row r="189" spans="1:26" ht="15.75" customHeight="1">
      <c r="A189" s="37"/>
      <c r="B189" s="64"/>
      <c r="C189" s="37"/>
      <c r="D189" s="37"/>
      <c r="E189" s="37"/>
      <c r="F189" s="37"/>
      <c r="G189" s="65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12"/>
    </row>
    <row r="190" spans="1:26" ht="15.75" customHeight="1">
      <c r="A190" s="37"/>
      <c r="B190" s="64"/>
      <c r="C190" s="37"/>
      <c r="D190" s="37"/>
      <c r="E190" s="37"/>
      <c r="F190" s="37"/>
      <c r="G190" s="65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12"/>
    </row>
    <row r="191" spans="1:26" ht="15.75" customHeight="1">
      <c r="A191" s="37"/>
      <c r="B191" s="64"/>
      <c r="C191" s="37"/>
      <c r="D191" s="37"/>
      <c r="E191" s="37"/>
      <c r="F191" s="37"/>
      <c r="G191" s="65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12"/>
    </row>
    <row r="192" spans="1:26" ht="15.75" customHeight="1">
      <c r="A192" s="37"/>
      <c r="B192" s="64"/>
      <c r="C192" s="37"/>
      <c r="D192" s="37"/>
      <c r="E192" s="37"/>
      <c r="F192" s="37"/>
      <c r="G192" s="65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12"/>
    </row>
    <row r="193" spans="1:26" ht="15.75" customHeight="1">
      <c r="A193" s="37"/>
      <c r="B193" s="64"/>
      <c r="C193" s="37"/>
      <c r="D193" s="37"/>
      <c r="E193" s="37"/>
      <c r="F193" s="37"/>
      <c r="G193" s="65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12"/>
    </row>
    <row r="194" spans="1:26" ht="15.75" customHeight="1">
      <c r="A194" s="37"/>
      <c r="B194" s="64"/>
      <c r="C194" s="37"/>
      <c r="D194" s="37"/>
      <c r="E194" s="37"/>
      <c r="F194" s="37"/>
      <c r="G194" s="65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12"/>
    </row>
    <row r="195" spans="1:26" ht="15.75" customHeight="1">
      <c r="A195" s="37"/>
      <c r="B195" s="64"/>
      <c r="C195" s="37"/>
      <c r="D195" s="37"/>
      <c r="E195" s="37"/>
      <c r="F195" s="37"/>
      <c r="G195" s="65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12"/>
    </row>
    <row r="196" spans="1:26" ht="15.75" customHeight="1">
      <c r="A196" s="37"/>
      <c r="B196" s="64"/>
      <c r="C196" s="37"/>
      <c r="D196" s="37"/>
      <c r="E196" s="37"/>
      <c r="F196" s="37"/>
      <c r="G196" s="65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12"/>
    </row>
    <row r="197" spans="1:26" ht="15.75" customHeight="1">
      <c r="A197" s="37"/>
      <c r="B197" s="64"/>
      <c r="C197" s="37"/>
      <c r="D197" s="37"/>
      <c r="E197" s="37"/>
      <c r="F197" s="37"/>
      <c r="G197" s="65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12"/>
    </row>
    <row r="198" spans="1:26" ht="15.75" customHeight="1">
      <c r="A198" s="37"/>
      <c r="B198" s="64"/>
      <c r="C198" s="37"/>
      <c r="D198" s="37"/>
      <c r="E198" s="37"/>
      <c r="F198" s="37"/>
      <c r="G198" s="65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12"/>
    </row>
    <row r="199" spans="1:26" ht="15.75" customHeight="1">
      <c r="A199" s="37"/>
      <c r="B199" s="64"/>
      <c r="C199" s="37"/>
      <c r="D199" s="37"/>
      <c r="E199" s="37"/>
      <c r="F199" s="37"/>
      <c r="G199" s="65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12"/>
    </row>
    <row r="200" spans="1:26" ht="15.75" customHeight="1">
      <c r="A200" s="37"/>
      <c r="B200" s="64"/>
      <c r="C200" s="37"/>
      <c r="D200" s="37"/>
      <c r="E200" s="37"/>
      <c r="F200" s="37"/>
      <c r="G200" s="65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12"/>
    </row>
    <row r="201" spans="1:26" ht="15.75" customHeight="1">
      <c r="A201" s="37"/>
      <c r="B201" s="64"/>
      <c r="C201" s="37"/>
      <c r="D201" s="37"/>
      <c r="E201" s="37"/>
      <c r="F201" s="37"/>
      <c r="G201" s="65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12"/>
    </row>
    <row r="202" spans="1:26" ht="15.75" customHeight="1">
      <c r="A202" s="37"/>
      <c r="B202" s="64"/>
      <c r="C202" s="37"/>
      <c r="D202" s="37"/>
      <c r="E202" s="37"/>
      <c r="F202" s="37"/>
      <c r="G202" s="65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12"/>
    </row>
    <row r="203" spans="1:26" ht="15.75" customHeight="1">
      <c r="A203" s="37"/>
      <c r="B203" s="64"/>
      <c r="C203" s="37"/>
      <c r="D203" s="37"/>
      <c r="E203" s="37"/>
      <c r="F203" s="37"/>
      <c r="G203" s="65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12"/>
    </row>
    <row r="204" spans="1:26" ht="15.75" customHeight="1">
      <c r="A204" s="37"/>
      <c r="B204" s="64"/>
      <c r="C204" s="37"/>
      <c r="D204" s="37"/>
      <c r="E204" s="37"/>
      <c r="F204" s="37"/>
      <c r="G204" s="65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12"/>
    </row>
    <row r="205" spans="1:26" ht="15.75" customHeight="1">
      <c r="A205" s="37"/>
      <c r="B205" s="64"/>
      <c r="C205" s="37"/>
      <c r="D205" s="37"/>
      <c r="E205" s="37"/>
      <c r="F205" s="37"/>
      <c r="G205" s="65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12"/>
    </row>
    <row r="206" spans="1:26" ht="15.75" customHeight="1">
      <c r="A206" s="37"/>
      <c r="B206" s="64"/>
      <c r="C206" s="37"/>
      <c r="D206" s="37"/>
      <c r="E206" s="37"/>
      <c r="F206" s="37"/>
      <c r="G206" s="65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12"/>
    </row>
    <row r="207" spans="1:26" ht="15.75" customHeight="1">
      <c r="A207" s="37"/>
      <c r="B207" s="64"/>
      <c r="C207" s="37"/>
      <c r="D207" s="37"/>
      <c r="E207" s="37"/>
      <c r="F207" s="37"/>
      <c r="G207" s="65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12"/>
    </row>
    <row r="208" spans="1:26" ht="15.75" customHeight="1">
      <c r="A208" s="37"/>
      <c r="B208" s="64"/>
      <c r="C208" s="37"/>
      <c r="D208" s="37"/>
      <c r="E208" s="37"/>
      <c r="F208" s="37"/>
      <c r="G208" s="6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12"/>
    </row>
    <row r="209" spans="1:26" ht="15.75" customHeight="1">
      <c r="A209" s="37"/>
      <c r="B209" s="64"/>
      <c r="C209" s="37"/>
      <c r="D209" s="37"/>
      <c r="E209" s="37"/>
      <c r="F209" s="37"/>
      <c r="G209" s="65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12"/>
    </row>
    <row r="210" spans="1:26" ht="15.75" customHeight="1">
      <c r="A210" s="37"/>
      <c r="B210" s="64"/>
      <c r="C210" s="37"/>
      <c r="D210" s="37"/>
      <c r="E210" s="37"/>
      <c r="F210" s="37"/>
      <c r="G210" s="65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12"/>
    </row>
    <row r="211" spans="1:26" ht="15.75" customHeight="1">
      <c r="A211" s="37"/>
      <c r="B211" s="64"/>
      <c r="C211" s="37"/>
      <c r="D211" s="37"/>
      <c r="E211" s="37"/>
      <c r="F211" s="37"/>
      <c r="G211" s="65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12"/>
    </row>
    <row r="212" spans="1:26" ht="15.75" customHeight="1">
      <c r="A212" s="37"/>
      <c r="B212" s="64"/>
      <c r="C212" s="37"/>
      <c r="D212" s="37"/>
      <c r="E212" s="37"/>
      <c r="F212" s="37"/>
      <c r="G212" s="65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12"/>
    </row>
    <row r="213" spans="1:26" ht="15.75" customHeight="1">
      <c r="A213" s="37"/>
      <c r="B213" s="64"/>
      <c r="C213" s="37"/>
      <c r="D213" s="37"/>
      <c r="E213" s="37"/>
      <c r="F213" s="37"/>
      <c r="G213" s="65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12"/>
    </row>
    <row r="214" spans="1:26" ht="15.75" customHeight="1">
      <c r="A214" s="37"/>
      <c r="B214" s="64"/>
      <c r="C214" s="37"/>
      <c r="D214" s="37"/>
      <c r="E214" s="37"/>
      <c r="F214" s="37"/>
      <c r="G214" s="65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2"/>
    </row>
    <row r="215" spans="1:26" ht="15.75" customHeight="1">
      <c r="A215" s="37"/>
      <c r="B215" s="64"/>
      <c r="C215" s="37"/>
      <c r="D215" s="37"/>
      <c r="E215" s="37"/>
      <c r="F215" s="37"/>
      <c r="G215" s="65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12"/>
    </row>
    <row r="216" spans="1:26" ht="15.75" customHeight="1">
      <c r="A216" s="37"/>
      <c r="B216" s="64"/>
      <c r="C216" s="37"/>
      <c r="D216" s="37"/>
      <c r="E216" s="37"/>
      <c r="F216" s="37"/>
      <c r="G216" s="65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12"/>
    </row>
    <row r="217" spans="1:26" ht="15.75" customHeight="1">
      <c r="A217" s="37"/>
      <c r="B217" s="64"/>
      <c r="C217" s="37"/>
      <c r="D217" s="37"/>
      <c r="E217" s="37"/>
      <c r="F217" s="37"/>
      <c r="G217" s="65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12"/>
    </row>
    <row r="218" spans="1:26" ht="15.75" customHeight="1">
      <c r="A218" s="37"/>
      <c r="B218" s="64"/>
      <c r="C218" s="37"/>
      <c r="D218" s="37"/>
      <c r="E218" s="37"/>
      <c r="F218" s="37"/>
      <c r="G218" s="65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12"/>
    </row>
    <row r="219" spans="1:26" ht="15.75" customHeight="1">
      <c r="A219" s="37"/>
      <c r="B219" s="64"/>
      <c r="C219" s="37"/>
      <c r="D219" s="37"/>
      <c r="E219" s="37"/>
      <c r="F219" s="37"/>
      <c r="G219" s="65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12"/>
    </row>
    <row r="220" spans="1:26" ht="15.75" customHeight="1">
      <c r="A220" s="37"/>
      <c r="B220" s="64"/>
      <c r="C220" s="37"/>
      <c r="D220" s="37"/>
      <c r="E220" s="37"/>
      <c r="F220" s="37"/>
      <c r="G220" s="6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12"/>
    </row>
    <row r="221" spans="1:26" ht="15.75" customHeight="1">
      <c r="A221" s="37"/>
      <c r="B221" s="64"/>
      <c r="C221" s="37"/>
      <c r="D221" s="37"/>
      <c r="E221" s="37"/>
      <c r="F221" s="37"/>
      <c r="G221" s="65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12"/>
    </row>
    <row r="222" spans="1:26" ht="15.75" customHeight="1">
      <c r="A222" s="37"/>
      <c r="B222" s="64"/>
      <c r="C222" s="37"/>
      <c r="D222" s="37"/>
      <c r="E222" s="37"/>
      <c r="F222" s="37"/>
      <c r="G222" s="65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12"/>
    </row>
    <row r="223" spans="1:26" ht="15.75" customHeight="1">
      <c r="A223" s="37"/>
      <c r="B223" s="64"/>
      <c r="C223" s="37"/>
      <c r="D223" s="37"/>
      <c r="E223" s="37"/>
      <c r="F223" s="37"/>
      <c r="G223" s="6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12"/>
    </row>
    <row r="224" spans="1:26" ht="15.75" customHeight="1">
      <c r="A224" s="37"/>
      <c r="B224" s="64"/>
      <c r="C224" s="37"/>
      <c r="D224" s="37"/>
      <c r="E224" s="37"/>
      <c r="F224" s="37"/>
      <c r="G224" s="65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12"/>
    </row>
    <row r="225" spans="1:26" ht="15.75" customHeight="1">
      <c r="A225" s="37"/>
      <c r="B225" s="64"/>
      <c r="C225" s="37"/>
      <c r="D225" s="37"/>
      <c r="E225" s="37"/>
      <c r="F225" s="37"/>
      <c r="G225" s="65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12"/>
    </row>
    <row r="226" spans="1:26" ht="15.75" customHeight="1">
      <c r="A226" s="37"/>
      <c r="B226" s="64"/>
      <c r="C226" s="37"/>
      <c r="D226" s="37"/>
      <c r="E226" s="37"/>
      <c r="F226" s="37"/>
      <c r="G226" s="65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12"/>
    </row>
    <row r="227" spans="1:26" ht="15.75" customHeight="1">
      <c r="A227" s="37"/>
      <c r="B227" s="64"/>
      <c r="C227" s="37"/>
      <c r="D227" s="37"/>
      <c r="E227" s="37"/>
      <c r="F227" s="37"/>
      <c r="G227" s="65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12"/>
    </row>
    <row r="228" spans="1:26" ht="15.75" customHeight="1">
      <c r="A228" s="37"/>
      <c r="B228" s="64"/>
      <c r="C228" s="37"/>
      <c r="D228" s="37"/>
      <c r="E228" s="37"/>
      <c r="F228" s="37"/>
      <c r="G228" s="65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12"/>
    </row>
    <row r="229" spans="1:26" ht="15.75" customHeight="1">
      <c r="A229" s="37"/>
      <c r="B229" s="64"/>
      <c r="C229" s="37"/>
      <c r="D229" s="37"/>
      <c r="E229" s="37"/>
      <c r="F229" s="37"/>
      <c r="G229" s="65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12"/>
    </row>
    <row r="230" spans="1:26" ht="15.75" customHeight="1">
      <c r="A230" s="37"/>
      <c r="B230" s="64"/>
      <c r="C230" s="37"/>
      <c r="D230" s="37"/>
      <c r="E230" s="37"/>
      <c r="F230" s="37"/>
      <c r="G230" s="65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12"/>
    </row>
    <row r="231" spans="1:26" ht="15.75" customHeight="1">
      <c r="A231" s="37"/>
      <c r="B231" s="64"/>
      <c r="C231" s="37"/>
      <c r="D231" s="37"/>
      <c r="E231" s="37"/>
      <c r="F231" s="37"/>
      <c r="G231" s="65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12"/>
    </row>
    <row r="232" spans="1:26" ht="15.75" customHeight="1">
      <c r="A232" s="37"/>
      <c r="B232" s="64"/>
      <c r="C232" s="37"/>
      <c r="D232" s="37"/>
      <c r="E232" s="37"/>
      <c r="F232" s="37"/>
      <c r="G232" s="65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12"/>
    </row>
    <row r="233" spans="1:26" ht="15.75" customHeight="1">
      <c r="A233" s="12"/>
      <c r="B233" s="66"/>
      <c r="C233" s="12"/>
      <c r="D233" s="12"/>
      <c r="E233" s="12"/>
      <c r="F233" s="12"/>
      <c r="G233" s="6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66"/>
      <c r="C234" s="12"/>
      <c r="D234" s="12"/>
      <c r="E234" s="12"/>
      <c r="F234" s="12"/>
      <c r="G234" s="6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66"/>
      <c r="C235" s="12"/>
      <c r="D235" s="12"/>
      <c r="E235" s="12"/>
      <c r="F235" s="12"/>
      <c r="G235" s="6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66"/>
      <c r="C236" s="12"/>
      <c r="D236" s="12"/>
      <c r="E236" s="12"/>
      <c r="F236" s="12"/>
      <c r="G236" s="6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66"/>
      <c r="C237" s="12"/>
      <c r="D237" s="12"/>
      <c r="E237" s="12"/>
      <c r="F237" s="12"/>
      <c r="G237" s="6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66"/>
      <c r="C238" s="12"/>
      <c r="D238" s="12"/>
      <c r="E238" s="12"/>
      <c r="F238" s="12"/>
      <c r="G238" s="6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66"/>
      <c r="C239" s="12"/>
      <c r="D239" s="12"/>
      <c r="E239" s="12"/>
      <c r="F239" s="12"/>
      <c r="G239" s="6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66"/>
      <c r="C240" s="12"/>
      <c r="D240" s="12"/>
      <c r="E240" s="12"/>
      <c r="F240" s="12"/>
      <c r="G240" s="6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66"/>
      <c r="C241" s="12"/>
      <c r="D241" s="12"/>
      <c r="E241" s="12"/>
      <c r="F241" s="12"/>
      <c r="G241" s="6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66"/>
      <c r="C242" s="12"/>
      <c r="D242" s="12"/>
      <c r="E242" s="12"/>
      <c r="F242" s="12"/>
      <c r="G242" s="6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66"/>
      <c r="C243" s="12"/>
      <c r="D243" s="12"/>
      <c r="E243" s="12"/>
      <c r="F243" s="12"/>
      <c r="G243" s="6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66"/>
      <c r="C244" s="12"/>
      <c r="D244" s="12"/>
      <c r="E244" s="12"/>
      <c r="F244" s="12"/>
      <c r="G244" s="6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66"/>
      <c r="C245" s="12"/>
      <c r="D245" s="12"/>
      <c r="E245" s="12"/>
      <c r="F245" s="12"/>
      <c r="G245" s="6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66"/>
      <c r="C246" s="12"/>
      <c r="D246" s="12"/>
      <c r="E246" s="12"/>
      <c r="F246" s="12"/>
      <c r="G246" s="6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66"/>
      <c r="C247" s="12"/>
      <c r="D247" s="12"/>
      <c r="E247" s="12"/>
      <c r="F247" s="12"/>
      <c r="G247" s="6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66"/>
      <c r="C248" s="12"/>
      <c r="D248" s="12"/>
      <c r="E248" s="12"/>
      <c r="F248" s="12"/>
      <c r="G248" s="6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66"/>
      <c r="C249" s="12"/>
      <c r="D249" s="12"/>
      <c r="E249" s="12"/>
      <c r="F249" s="12"/>
      <c r="G249" s="6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66"/>
      <c r="C250" s="12"/>
      <c r="D250" s="12"/>
      <c r="E250" s="12"/>
      <c r="F250" s="12"/>
      <c r="G250" s="6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66"/>
      <c r="C251" s="12"/>
      <c r="D251" s="12"/>
      <c r="E251" s="12"/>
      <c r="F251" s="12"/>
      <c r="G251" s="6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66"/>
      <c r="C252" s="12"/>
      <c r="D252" s="12"/>
      <c r="E252" s="12"/>
      <c r="F252" s="12"/>
      <c r="G252" s="6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66"/>
      <c r="C253" s="12"/>
      <c r="D253" s="12"/>
      <c r="E253" s="12"/>
      <c r="F253" s="12"/>
      <c r="G253" s="6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66"/>
      <c r="C254" s="12"/>
      <c r="D254" s="12"/>
      <c r="E254" s="12"/>
      <c r="F254" s="12"/>
      <c r="G254" s="6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66"/>
      <c r="C255" s="12"/>
      <c r="D255" s="12"/>
      <c r="E255" s="12"/>
      <c r="F255" s="12"/>
      <c r="G255" s="6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66"/>
      <c r="C256" s="12"/>
      <c r="D256" s="12"/>
      <c r="E256" s="12"/>
      <c r="F256" s="12"/>
      <c r="G256" s="6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66"/>
      <c r="C257" s="12"/>
      <c r="D257" s="12"/>
      <c r="E257" s="12"/>
      <c r="F257" s="12"/>
      <c r="G257" s="6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66"/>
      <c r="C258" s="12"/>
      <c r="D258" s="12"/>
      <c r="E258" s="12"/>
      <c r="F258" s="12"/>
      <c r="G258" s="6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66"/>
      <c r="C259" s="12"/>
      <c r="D259" s="12"/>
      <c r="E259" s="12"/>
      <c r="F259" s="12"/>
      <c r="G259" s="6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66"/>
      <c r="C260" s="12"/>
      <c r="D260" s="12"/>
      <c r="E260" s="12"/>
      <c r="F260" s="12"/>
      <c r="G260" s="6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66"/>
      <c r="C261" s="12"/>
      <c r="D261" s="12"/>
      <c r="E261" s="12"/>
      <c r="F261" s="12"/>
      <c r="G261" s="6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66"/>
      <c r="C262" s="12"/>
      <c r="D262" s="12"/>
      <c r="E262" s="12"/>
      <c r="F262" s="12"/>
      <c r="G262" s="6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66"/>
      <c r="C263" s="12"/>
      <c r="D263" s="12"/>
      <c r="E263" s="12"/>
      <c r="F263" s="12"/>
      <c r="G263" s="6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66"/>
      <c r="C264" s="12"/>
      <c r="D264" s="12"/>
      <c r="E264" s="12"/>
      <c r="F264" s="12"/>
      <c r="G264" s="6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66"/>
      <c r="C265" s="12"/>
      <c r="D265" s="12"/>
      <c r="E265" s="12"/>
      <c r="F265" s="12"/>
      <c r="G265" s="6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66"/>
      <c r="C266" s="12"/>
      <c r="D266" s="12"/>
      <c r="E266" s="12"/>
      <c r="F266" s="12"/>
      <c r="G266" s="6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66"/>
      <c r="C267" s="12"/>
      <c r="D267" s="12"/>
      <c r="E267" s="12"/>
      <c r="F267" s="12"/>
      <c r="G267" s="6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66"/>
      <c r="C268" s="12"/>
      <c r="D268" s="12"/>
      <c r="E268" s="12"/>
      <c r="F268" s="12"/>
      <c r="G268" s="6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66"/>
      <c r="C269" s="12"/>
      <c r="D269" s="12"/>
      <c r="E269" s="12"/>
      <c r="F269" s="12"/>
      <c r="G269" s="6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66"/>
      <c r="C270" s="12"/>
      <c r="D270" s="12"/>
      <c r="E270" s="12"/>
      <c r="F270" s="12"/>
      <c r="G270" s="6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66"/>
      <c r="C271" s="12"/>
      <c r="D271" s="12"/>
      <c r="E271" s="12"/>
      <c r="F271" s="12"/>
      <c r="G271" s="6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66"/>
      <c r="C272" s="12"/>
      <c r="D272" s="12"/>
      <c r="E272" s="12"/>
      <c r="F272" s="12"/>
      <c r="G272" s="6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66"/>
      <c r="C273" s="12"/>
      <c r="D273" s="12"/>
      <c r="E273" s="12"/>
      <c r="F273" s="12"/>
      <c r="G273" s="6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66"/>
      <c r="C274" s="12"/>
      <c r="D274" s="12"/>
      <c r="E274" s="12"/>
      <c r="F274" s="12"/>
      <c r="G274" s="6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66"/>
      <c r="C275" s="12"/>
      <c r="D275" s="12"/>
      <c r="E275" s="12"/>
      <c r="F275" s="12"/>
      <c r="G275" s="6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66"/>
      <c r="C276" s="12"/>
      <c r="D276" s="12"/>
      <c r="E276" s="12"/>
      <c r="F276" s="12"/>
      <c r="G276" s="6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66"/>
      <c r="C277" s="12"/>
      <c r="D277" s="12"/>
      <c r="E277" s="12"/>
      <c r="F277" s="12"/>
      <c r="G277" s="6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66"/>
      <c r="C278" s="12"/>
      <c r="D278" s="12"/>
      <c r="E278" s="12"/>
      <c r="F278" s="12"/>
      <c r="G278" s="6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66"/>
      <c r="C279" s="12"/>
      <c r="D279" s="12"/>
      <c r="E279" s="12"/>
      <c r="F279" s="12"/>
      <c r="G279" s="6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66"/>
      <c r="C280" s="12"/>
      <c r="D280" s="12"/>
      <c r="E280" s="12"/>
      <c r="F280" s="12"/>
      <c r="G280" s="6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66"/>
      <c r="C281" s="12"/>
      <c r="D281" s="12"/>
      <c r="E281" s="12"/>
      <c r="F281" s="12"/>
      <c r="G281" s="6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66"/>
      <c r="C282" s="12"/>
      <c r="D282" s="12"/>
      <c r="E282" s="12"/>
      <c r="F282" s="12"/>
      <c r="G282" s="6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66"/>
      <c r="C283" s="12"/>
      <c r="D283" s="12"/>
      <c r="E283" s="12"/>
      <c r="F283" s="12"/>
      <c r="G283" s="6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66"/>
      <c r="C284" s="12"/>
      <c r="D284" s="12"/>
      <c r="E284" s="12"/>
      <c r="F284" s="12"/>
      <c r="G284" s="6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66"/>
      <c r="C285" s="12"/>
      <c r="D285" s="12"/>
      <c r="E285" s="12"/>
      <c r="F285" s="12"/>
      <c r="G285" s="6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66"/>
      <c r="C286" s="12"/>
      <c r="D286" s="12"/>
      <c r="E286" s="12"/>
      <c r="F286" s="12"/>
      <c r="G286" s="6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66"/>
      <c r="C287" s="12"/>
      <c r="D287" s="12"/>
      <c r="E287" s="12"/>
      <c r="F287" s="12"/>
      <c r="G287" s="6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66"/>
      <c r="C288" s="12"/>
      <c r="D288" s="12"/>
      <c r="E288" s="12"/>
      <c r="F288" s="12"/>
      <c r="G288" s="6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66"/>
      <c r="C289" s="12"/>
      <c r="D289" s="12"/>
      <c r="E289" s="12"/>
      <c r="F289" s="12"/>
      <c r="G289" s="6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66"/>
      <c r="C290" s="12"/>
      <c r="D290" s="12"/>
      <c r="E290" s="12"/>
      <c r="F290" s="12"/>
      <c r="G290" s="6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66"/>
      <c r="C291" s="12"/>
      <c r="D291" s="12"/>
      <c r="E291" s="12"/>
      <c r="F291" s="12"/>
      <c r="G291" s="6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66"/>
      <c r="C292" s="12"/>
      <c r="D292" s="12"/>
      <c r="E292" s="12"/>
      <c r="F292" s="12"/>
      <c r="G292" s="6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66"/>
      <c r="C293" s="12"/>
      <c r="D293" s="12"/>
      <c r="E293" s="12"/>
      <c r="F293" s="12"/>
      <c r="G293" s="6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66"/>
      <c r="C294" s="12"/>
      <c r="D294" s="12"/>
      <c r="E294" s="12"/>
      <c r="F294" s="12"/>
      <c r="G294" s="6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66"/>
      <c r="C295" s="12"/>
      <c r="D295" s="12"/>
      <c r="E295" s="12"/>
      <c r="F295" s="12"/>
      <c r="G295" s="6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66"/>
      <c r="C296" s="12"/>
      <c r="D296" s="12"/>
      <c r="E296" s="12"/>
      <c r="F296" s="12"/>
      <c r="G296" s="6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66"/>
      <c r="C297" s="12"/>
      <c r="D297" s="12"/>
      <c r="E297" s="12"/>
      <c r="F297" s="12"/>
      <c r="G297" s="6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66"/>
      <c r="C298" s="12"/>
      <c r="D298" s="12"/>
      <c r="E298" s="12"/>
      <c r="F298" s="12"/>
      <c r="G298" s="6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66"/>
      <c r="C299" s="12"/>
      <c r="D299" s="12"/>
      <c r="E299" s="12"/>
      <c r="F299" s="12"/>
      <c r="G299" s="6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66"/>
      <c r="C300" s="12"/>
      <c r="D300" s="12"/>
      <c r="E300" s="12"/>
      <c r="F300" s="12"/>
      <c r="G300" s="6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66"/>
      <c r="C301" s="12"/>
      <c r="D301" s="12"/>
      <c r="E301" s="12"/>
      <c r="F301" s="12"/>
      <c r="G301" s="6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66"/>
      <c r="C302" s="12"/>
      <c r="D302" s="12"/>
      <c r="E302" s="12"/>
      <c r="F302" s="12"/>
      <c r="G302" s="6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66"/>
      <c r="C303" s="12"/>
      <c r="D303" s="12"/>
      <c r="E303" s="12"/>
      <c r="F303" s="12"/>
      <c r="G303" s="6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66"/>
      <c r="C304" s="12"/>
      <c r="D304" s="12"/>
      <c r="E304" s="12"/>
      <c r="F304" s="12"/>
      <c r="G304" s="6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66"/>
      <c r="C305" s="12"/>
      <c r="D305" s="12"/>
      <c r="E305" s="12"/>
      <c r="F305" s="12"/>
      <c r="G305" s="6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66"/>
      <c r="C306" s="12"/>
      <c r="D306" s="12"/>
      <c r="E306" s="12"/>
      <c r="F306" s="12"/>
      <c r="G306" s="6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66"/>
      <c r="C307" s="12"/>
      <c r="D307" s="12"/>
      <c r="E307" s="12"/>
      <c r="F307" s="12"/>
      <c r="G307" s="6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66"/>
      <c r="C308" s="12"/>
      <c r="D308" s="12"/>
      <c r="E308" s="12"/>
      <c r="F308" s="12"/>
      <c r="G308" s="6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66"/>
      <c r="C309" s="12"/>
      <c r="D309" s="12"/>
      <c r="E309" s="12"/>
      <c r="F309" s="12"/>
      <c r="G309" s="6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66"/>
      <c r="C310" s="12"/>
      <c r="D310" s="12"/>
      <c r="E310" s="12"/>
      <c r="F310" s="12"/>
      <c r="G310" s="6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66"/>
      <c r="C311" s="12"/>
      <c r="D311" s="12"/>
      <c r="E311" s="12"/>
      <c r="F311" s="12"/>
      <c r="G311" s="6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66"/>
      <c r="C312" s="12"/>
      <c r="D312" s="12"/>
      <c r="E312" s="12"/>
      <c r="F312" s="12"/>
      <c r="G312" s="6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66"/>
      <c r="C313" s="12"/>
      <c r="D313" s="12"/>
      <c r="E313" s="12"/>
      <c r="F313" s="12"/>
      <c r="G313" s="6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66"/>
      <c r="C314" s="12"/>
      <c r="D314" s="12"/>
      <c r="E314" s="12"/>
      <c r="F314" s="12"/>
      <c r="G314" s="6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66"/>
      <c r="C315" s="12"/>
      <c r="D315" s="12"/>
      <c r="E315" s="12"/>
      <c r="F315" s="12"/>
      <c r="G315" s="6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66"/>
      <c r="C316" s="12"/>
      <c r="D316" s="12"/>
      <c r="E316" s="12"/>
      <c r="F316" s="12"/>
      <c r="G316" s="6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66"/>
      <c r="C317" s="12"/>
      <c r="D317" s="12"/>
      <c r="E317" s="12"/>
      <c r="F317" s="12"/>
      <c r="G317" s="6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66"/>
      <c r="C318" s="12"/>
      <c r="D318" s="12"/>
      <c r="E318" s="12"/>
      <c r="F318" s="12"/>
      <c r="G318" s="6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66"/>
      <c r="C319" s="12"/>
      <c r="D319" s="12"/>
      <c r="E319" s="12"/>
      <c r="F319" s="12"/>
      <c r="G319" s="6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66"/>
      <c r="C320" s="12"/>
      <c r="D320" s="12"/>
      <c r="E320" s="12"/>
      <c r="F320" s="12"/>
      <c r="G320" s="6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66"/>
      <c r="C321" s="12"/>
      <c r="D321" s="12"/>
      <c r="E321" s="12"/>
      <c r="F321" s="12"/>
      <c r="G321" s="6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66"/>
      <c r="C322" s="12"/>
      <c r="D322" s="12"/>
      <c r="E322" s="12"/>
      <c r="F322" s="12"/>
      <c r="G322" s="6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66"/>
      <c r="C323" s="12"/>
      <c r="D323" s="12"/>
      <c r="E323" s="12"/>
      <c r="F323" s="12"/>
      <c r="G323" s="6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66"/>
      <c r="C324" s="12"/>
      <c r="D324" s="12"/>
      <c r="E324" s="12"/>
      <c r="F324" s="12"/>
      <c r="G324" s="6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66"/>
      <c r="C325" s="12"/>
      <c r="D325" s="12"/>
      <c r="E325" s="12"/>
      <c r="F325" s="12"/>
      <c r="G325" s="6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66"/>
      <c r="C326" s="12"/>
      <c r="D326" s="12"/>
      <c r="E326" s="12"/>
      <c r="F326" s="12"/>
      <c r="G326" s="6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66"/>
      <c r="C327" s="12"/>
      <c r="D327" s="12"/>
      <c r="E327" s="12"/>
      <c r="F327" s="12"/>
      <c r="G327" s="6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66"/>
      <c r="C328" s="12"/>
      <c r="D328" s="12"/>
      <c r="E328" s="12"/>
      <c r="F328" s="12"/>
      <c r="G328" s="6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66"/>
      <c r="C329" s="12"/>
      <c r="D329" s="12"/>
      <c r="E329" s="12"/>
      <c r="F329" s="12"/>
      <c r="G329" s="6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66"/>
      <c r="C330" s="12"/>
      <c r="D330" s="12"/>
      <c r="E330" s="12"/>
      <c r="F330" s="12"/>
      <c r="G330" s="6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66"/>
      <c r="C331" s="12"/>
      <c r="D331" s="12"/>
      <c r="E331" s="12"/>
      <c r="F331" s="12"/>
      <c r="G331" s="6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66"/>
      <c r="C332" s="12"/>
      <c r="D332" s="12"/>
      <c r="E332" s="12"/>
      <c r="F332" s="12"/>
      <c r="G332" s="6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66"/>
      <c r="C333" s="12"/>
      <c r="D333" s="12"/>
      <c r="E333" s="12"/>
      <c r="F333" s="12"/>
      <c r="G333" s="6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66"/>
      <c r="C334" s="12"/>
      <c r="D334" s="12"/>
      <c r="E334" s="12"/>
      <c r="F334" s="12"/>
      <c r="G334" s="6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66"/>
      <c r="C335" s="12"/>
      <c r="D335" s="12"/>
      <c r="E335" s="12"/>
      <c r="F335" s="12"/>
      <c r="G335" s="6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66"/>
      <c r="C336" s="12"/>
      <c r="D336" s="12"/>
      <c r="E336" s="12"/>
      <c r="F336" s="12"/>
      <c r="G336" s="6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66"/>
      <c r="C337" s="12"/>
      <c r="D337" s="12"/>
      <c r="E337" s="12"/>
      <c r="F337" s="12"/>
      <c r="G337" s="6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66"/>
      <c r="C338" s="12"/>
      <c r="D338" s="12"/>
      <c r="E338" s="12"/>
      <c r="F338" s="12"/>
      <c r="G338" s="6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66"/>
      <c r="C339" s="12"/>
      <c r="D339" s="12"/>
      <c r="E339" s="12"/>
      <c r="F339" s="12"/>
      <c r="G339" s="6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66"/>
      <c r="C340" s="12"/>
      <c r="D340" s="12"/>
      <c r="E340" s="12"/>
      <c r="F340" s="12"/>
      <c r="G340" s="6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66"/>
      <c r="C341" s="12"/>
      <c r="D341" s="12"/>
      <c r="E341" s="12"/>
      <c r="F341" s="12"/>
      <c r="G341" s="6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66"/>
      <c r="C342" s="12"/>
      <c r="D342" s="12"/>
      <c r="E342" s="12"/>
      <c r="F342" s="12"/>
      <c r="G342" s="6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66"/>
      <c r="C343" s="12"/>
      <c r="D343" s="12"/>
      <c r="E343" s="12"/>
      <c r="F343" s="12"/>
      <c r="G343" s="6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66"/>
      <c r="C344" s="12"/>
      <c r="D344" s="12"/>
      <c r="E344" s="12"/>
      <c r="F344" s="12"/>
      <c r="G344" s="6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66"/>
      <c r="C345" s="12"/>
      <c r="D345" s="12"/>
      <c r="E345" s="12"/>
      <c r="F345" s="12"/>
      <c r="G345" s="6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66"/>
      <c r="C346" s="12"/>
      <c r="D346" s="12"/>
      <c r="E346" s="12"/>
      <c r="F346" s="12"/>
      <c r="G346" s="6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66"/>
      <c r="C347" s="12"/>
      <c r="D347" s="12"/>
      <c r="E347" s="12"/>
      <c r="F347" s="12"/>
      <c r="G347" s="6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66"/>
      <c r="C348" s="12"/>
      <c r="D348" s="12"/>
      <c r="E348" s="12"/>
      <c r="F348" s="12"/>
      <c r="G348" s="6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66"/>
      <c r="C349" s="12"/>
      <c r="D349" s="12"/>
      <c r="E349" s="12"/>
      <c r="F349" s="12"/>
      <c r="G349" s="6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66"/>
      <c r="C350" s="12"/>
      <c r="D350" s="12"/>
      <c r="E350" s="12"/>
      <c r="F350" s="12"/>
      <c r="G350" s="6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66"/>
      <c r="C351" s="12"/>
      <c r="D351" s="12"/>
      <c r="E351" s="12"/>
      <c r="F351" s="12"/>
      <c r="G351" s="6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66"/>
      <c r="C352" s="12"/>
      <c r="D352" s="12"/>
      <c r="E352" s="12"/>
      <c r="F352" s="12"/>
      <c r="G352" s="6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66"/>
      <c r="C353" s="12"/>
      <c r="D353" s="12"/>
      <c r="E353" s="12"/>
      <c r="F353" s="12"/>
      <c r="G353" s="6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66"/>
      <c r="C354" s="12"/>
      <c r="D354" s="12"/>
      <c r="E354" s="12"/>
      <c r="F354" s="12"/>
      <c r="G354" s="6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66"/>
      <c r="C355" s="12"/>
      <c r="D355" s="12"/>
      <c r="E355" s="12"/>
      <c r="F355" s="12"/>
      <c r="G355" s="6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66"/>
      <c r="C356" s="12"/>
      <c r="D356" s="12"/>
      <c r="E356" s="12"/>
      <c r="F356" s="12"/>
      <c r="G356" s="6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66"/>
      <c r="C357" s="12"/>
      <c r="D357" s="12"/>
      <c r="E357" s="12"/>
      <c r="F357" s="12"/>
      <c r="G357" s="6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66"/>
      <c r="C358" s="12"/>
      <c r="D358" s="12"/>
      <c r="E358" s="12"/>
      <c r="F358" s="12"/>
      <c r="G358" s="6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66"/>
      <c r="C359" s="12"/>
      <c r="D359" s="12"/>
      <c r="E359" s="12"/>
      <c r="F359" s="12"/>
      <c r="G359" s="6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66"/>
      <c r="C360" s="12"/>
      <c r="D360" s="12"/>
      <c r="E360" s="12"/>
      <c r="F360" s="12"/>
      <c r="G360" s="6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66"/>
      <c r="C361" s="12"/>
      <c r="D361" s="12"/>
      <c r="E361" s="12"/>
      <c r="F361" s="12"/>
      <c r="G361" s="6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66"/>
      <c r="C362" s="12"/>
      <c r="D362" s="12"/>
      <c r="E362" s="12"/>
      <c r="F362" s="12"/>
      <c r="G362" s="6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66"/>
      <c r="C363" s="12"/>
      <c r="D363" s="12"/>
      <c r="E363" s="12"/>
      <c r="F363" s="12"/>
      <c r="G363" s="6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66"/>
      <c r="C364" s="12"/>
      <c r="D364" s="12"/>
      <c r="E364" s="12"/>
      <c r="F364" s="12"/>
      <c r="G364" s="6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66"/>
      <c r="C365" s="12"/>
      <c r="D365" s="12"/>
      <c r="E365" s="12"/>
      <c r="F365" s="12"/>
      <c r="G365" s="6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66"/>
      <c r="C366" s="12"/>
      <c r="D366" s="12"/>
      <c r="E366" s="12"/>
      <c r="F366" s="12"/>
      <c r="G366" s="6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66"/>
      <c r="C367" s="12"/>
      <c r="D367" s="12"/>
      <c r="E367" s="12"/>
      <c r="F367" s="12"/>
      <c r="G367" s="6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66"/>
      <c r="C368" s="12"/>
      <c r="D368" s="12"/>
      <c r="E368" s="12"/>
      <c r="F368" s="12"/>
      <c r="G368" s="6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66"/>
      <c r="C369" s="12"/>
      <c r="D369" s="12"/>
      <c r="E369" s="12"/>
      <c r="F369" s="12"/>
      <c r="G369" s="6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66"/>
      <c r="C370" s="12"/>
      <c r="D370" s="12"/>
      <c r="E370" s="12"/>
      <c r="F370" s="12"/>
      <c r="G370" s="6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66"/>
      <c r="C371" s="12"/>
      <c r="D371" s="12"/>
      <c r="E371" s="12"/>
      <c r="F371" s="12"/>
      <c r="G371" s="6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66"/>
      <c r="C372" s="12"/>
      <c r="D372" s="12"/>
      <c r="E372" s="12"/>
      <c r="F372" s="12"/>
      <c r="G372" s="6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66"/>
      <c r="C373" s="12"/>
      <c r="D373" s="12"/>
      <c r="E373" s="12"/>
      <c r="F373" s="12"/>
      <c r="G373" s="6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66"/>
      <c r="C374" s="12"/>
      <c r="D374" s="12"/>
      <c r="E374" s="12"/>
      <c r="F374" s="12"/>
      <c r="G374" s="6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66"/>
      <c r="C375" s="12"/>
      <c r="D375" s="12"/>
      <c r="E375" s="12"/>
      <c r="F375" s="12"/>
      <c r="G375" s="6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66"/>
      <c r="C376" s="12"/>
      <c r="D376" s="12"/>
      <c r="E376" s="12"/>
      <c r="F376" s="12"/>
      <c r="G376" s="6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66"/>
      <c r="C377" s="12"/>
      <c r="D377" s="12"/>
      <c r="E377" s="12"/>
      <c r="F377" s="12"/>
      <c r="G377" s="6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66"/>
      <c r="C378" s="12"/>
      <c r="D378" s="12"/>
      <c r="E378" s="12"/>
      <c r="F378" s="12"/>
      <c r="G378" s="6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66"/>
      <c r="C379" s="12"/>
      <c r="D379" s="12"/>
      <c r="E379" s="12"/>
      <c r="F379" s="12"/>
      <c r="G379" s="6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66"/>
      <c r="C380" s="12"/>
      <c r="D380" s="12"/>
      <c r="E380" s="12"/>
      <c r="F380" s="12"/>
      <c r="G380" s="6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66"/>
      <c r="C381" s="12"/>
      <c r="D381" s="12"/>
      <c r="E381" s="12"/>
      <c r="F381" s="12"/>
      <c r="G381" s="6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66"/>
      <c r="C382" s="12"/>
      <c r="D382" s="12"/>
      <c r="E382" s="12"/>
      <c r="F382" s="12"/>
      <c r="G382" s="6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66"/>
      <c r="C383" s="12"/>
      <c r="D383" s="12"/>
      <c r="E383" s="12"/>
      <c r="F383" s="12"/>
      <c r="G383" s="6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66"/>
      <c r="C384" s="12"/>
      <c r="D384" s="12"/>
      <c r="E384" s="12"/>
      <c r="F384" s="12"/>
      <c r="G384" s="6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66"/>
      <c r="C385" s="12"/>
      <c r="D385" s="12"/>
      <c r="E385" s="12"/>
      <c r="F385" s="12"/>
      <c r="G385" s="6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66"/>
      <c r="C386" s="12"/>
      <c r="D386" s="12"/>
      <c r="E386" s="12"/>
      <c r="F386" s="12"/>
      <c r="G386" s="6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66"/>
      <c r="C387" s="12"/>
      <c r="D387" s="12"/>
      <c r="E387" s="12"/>
      <c r="F387" s="12"/>
      <c r="G387" s="6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66"/>
      <c r="C388" s="12"/>
      <c r="D388" s="12"/>
      <c r="E388" s="12"/>
      <c r="F388" s="12"/>
      <c r="G388" s="6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66"/>
      <c r="C389" s="12"/>
      <c r="D389" s="12"/>
      <c r="E389" s="12"/>
      <c r="F389" s="12"/>
      <c r="G389" s="6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66"/>
      <c r="C390" s="12"/>
      <c r="D390" s="12"/>
      <c r="E390" s="12"/>
      <c r="F390" s="12"/>
      <c r="G390" s="6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66"/>
      <c r="C391" s="12"/>
      <c r="D391" s="12"/>
      <c r="E391" s="12"/>
      <c r="F391" s="12"/>
      <c r="G391" s="6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66"/>
      <c r="C392" s="12"/>
      <c r="D392" s="12"/>
      <c r="E392" s="12"/>
      <c r="F392" s="12"/>
      <c r="G392" s="6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66"/>
      <c r="C393" s="12"/>
      <c r="D393" s="12"/>
      <c r="E393" s="12"/>
      <c r="F393" s="12"/>
      <c r="G393" s="6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66"/>
      <c r="C394" s="12"/>
      <c r="D394" s="12"/>
      <c r="E394" s="12"/>
      <c r="F394" s="12"/>
      <c r="G394" s="6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66"/>
      <c r="C395" s="12"/>
      <c r="D395" s="12"/>
      <c r="E395" s="12"/>
      <c r="F395" s="12"/>
      <c r="G395" s="6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66"/>
      <c r="C396" s="12"/>
      <c r="D396" s="12"/>
      <c r="E396" s="12"/>
      <c r="F396" s="12"/>
      <c r="G396" s="6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66"/>
      <c r="C397" s="12"/>
      <c r="D397" s="12"/>
      <c r="E397" s="12"/>
      <c r="F397" s="12"/>
      <c r="G397" s="6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66"/>
      <c r="C398" s="12"/>
      <c r="D398" s="12"/>
      <c r="E398" s="12"/>
      <c r="F398" s="12"/>
      <c r="G398" s="6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66"/>
      <c r="C399" s="12"/>
      <c r="D399" s="12"/>
      <c r="E399" s="12"/>
      <c r="F399" s="12"/>
      <c r="G399" s="6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66"/>
      <c r="C400" s="12"/>
      <c r="D400" s="12"/>
      <c r="E400" s="12"/>
      <c r="F400" s="12"/>
      <c r="G400" s="6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66"/>
      <c r="C401" s="12"/>
      <c r="D401" s="12"/>
      <c r="E401" s="12"/>
      <c r="F401" s="12"/>
      <c r="G401" s="6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66"/>
      <c r="C402" s="12"/>
      <c r="D402" s="12"/>
      <c r="E402" s="12"/>
      <c r="F402" s="12"/>
      <c r="G402" s="6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66"/>
      <c r="C403" s="12"/>
      <c r="D403" s="12"/>
      <c r="E403" s="12"/>
      <c r="F403" s="12"/>
      <c r="G403" s="6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66"/>
      <c r="C404" s="12"/>
      <c r="D404" s="12"/>
      <c r="E404" s="12"/>
      <c r="F404" s="12"/>
      <c r="G404" s="6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66"/>
      <c r="C405" s="12"/>
      <c r="D405" s="12"/>
      <c r="E405" s="12"/>
      <c r="F405" s="12"/>
      <c r="G405" s="6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66"/>
      <c r="C406" s="12"/>
      <c r="D406" s="12"/>
      <c r="E406" s="12"/>
      <c r="F406" s="12"/>
      <c r="G406" s="6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66"/>
      <c r="C407" s="12"/>
      <c r="D407" s="12"/>
      <c r="E407" s="12"/>
      <c r="F407" s="12"/>
      <c r="G407" s="6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66"/>
      <c r="C408" s="12"/>
      <c r="D408" s="12"/>
      <c r="E408" s="12"/>
      <c r="F408" s="12"/>
      <c r="G408" s="6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66"/>
      <c r="C409" s="12"/>
      <c r="D409" s="12"/>
      <c r="E409" s="12"/>
      <c r="F409" s="12"/>
      <c r="G409" s="6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66"/>
      <c r="C410" s="12"/>
      <c r="D410" s="12"/>
      <c r="E410" s="12"/>
      <c r="F410" s="12"/>
      <c r="G410" s="6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66"/>
      <c r="C411" s="12"/>
      <c r="D411" s="12"/>
      <c r="E411" s="12"/>
      <c r="F411" s="12"/>
      <c r="G411" s="6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66"/>
      <c r="C412" s="12"/>
      <c r="D412" s="12"/>
      <c r="E412" s="12"/>
      <c r="F412" s="12"/>
      <c r="G412" s="6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66"/>
      <c r="C413" s="12"/>
      <c r="D413" s="12"/>
      <c r="E413" s="12"/>
      <c r="F413" s="12"/>
      <c r="G413" s="6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66"/>
      <c r="C414" s="12"/>
      <c r="D414" s="12"/>
      <c r="E414" s="12"/>
      <c r="F414" s="12"/>
      <c r="G414" s="6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66"/>
      <c r="C415" s="12"/>
      <c r="D415" s="12"/>
      <c r="E415" s="12"/>
      <c r="F415" s="12"/>
      <c r="G415" s="6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66"/>
      <c r="C416" s="12"/>
      <c r="D416" s="12"/>
      <c r="E416" s="12"/>
      <c r="F416" s="12"/>
      <c r="G416" s="6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66"/>
      <c r="C417" s="12"/>
      <c r="D417" s="12"/>
      <c r="E417" s="12"/>
      <c r="F417" s="12"/>
      <c r="G417" s="6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66"/>
      <c r="C418" s="12"/>
      <c r="D418" s="12"/>
      <c r="E418" s="12"/>
      <c r="F418" s="12"/>
      <c r="G418" s="6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66"/>
      <c r="C419" s="12"/>
      <c r="D419" s="12"/>
      <c r="E419" s="12"/>
      <c r="F419" s="12"/>
      <c r="G419" s="6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66"/>
      <c r="C420" s="12"/>
      <c r="D420" s="12"/>
      <c r="E420" s="12"/>
      <c r="F420" s="12"/>
      <c r="G420" s="6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66"/>
      <c r="C421" s="12"/>
      <c r="D421" s="12"/>
      <c r="E421" s="12"/>
      <c r="F421" s="12"/>
      <c r="G421" s="6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66"/>
      <c r="C422" s="12"/>
      <c r="D422" s="12"/>
      <c r="E422" s="12"/>
      <c r="F422" s="12"/>
      <c r="G422" s="6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66"/>
      <c r="C423" s="12"/>
      <c r="D423" s="12"/>
      <c r="E423" s="12"/>
      <c r="F423" s="12"/>
      <c r="G423" s="6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66"/>
      <c r="C424" s="12"/>
      <c r="D424" s="12"/>
      <c r="E424" s="12"/>
      <c r="F424" s="12"/>
      <c r="G424" s="6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66"/>
      <c r="C425" s="12"/>
      <c r="D425" s="12"/>
      <c r="E425" s="12"/>
      <c r="F425" s="12"/>
      <c r="G425" s="6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66"/>
      <c r="C426" s="12"/>
      <c r="D426" s="12"/>
      <c r="E426" s="12"/>
      <c r="F426" s="12"/>
      <c r="G426" s="6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66"/>
      <c r="C427" s="12"/>
      <c r="D427" s="12"/>
      <c r="E427" s="12"/>
      <c r="F427" s="12"/>
      <c r="G427" s="6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66"/>
      <c r="C428" s="12"/>
      <c r="D428" s="12"/>
      <c r="E428" s="12"/>
      <c r="F428" s="12"/>
      <c r="G428" s="6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66"/>
      <c r="C429" s="12"/>
      <c r="D429" s="12"/>
      <c r="E429" s="12"/>
      <c r="F429" s="12"/>
      <c r="G429" s="6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66"/>
      <c r="C430" s="12"/>
      <c r="D430" s="12"/>
      <c r="E430" s="12"/>
      <c r="F430" s="12"/>
      <c r="G430" s="6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66"/>
      <c r="C431" s="12"/>
      <c r="D431" s="12"/>
      <c r="E431" s="12"/>
      <c r="F431" s="12"/>
      <c r="G431" s="6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66"/>
      <c r="C432" s="12"/>
      <c r="D432" s="12"/>
      <c r="E432" s="12"/>
      <c r="F432" s="12"/>
      <c r="G432" s="6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66"/>
      <c r="C433" s="12"/>
      <c r="D433" s="12"/>
      <c r="E433" s="12"/>
      <c r="F433" s="12"/>
      <c r="G433" s="6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66"/>
      <c r="C434" s="12"/>
      <c r="D434" s="12"/>
      <c r="E434" s="12"/>
      <c r="F434" s="12"/>
      <c r="G434" s="6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66"/>
      <c r="C435" s="12"/>
      <c r="D435" s="12"/>
      <c r="E435" s="12"/>
      <c r="F435" s="12"/>
      <c r="G435" s="6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66"/>
      <c r="C436" s="12"/>
      <c r="D436" s="12"/>
      <c r="E436" s="12"/>
      <c r="F436" s="12"/>
      <c r="G436" s="6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66"/>
      <c r="C437" s="12"/>
      <c r="D437" s="12"/>
      <c r="E437" s="12"/>
      <c r="F437" s="12"/>
      <c r="G437" s="6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66"/>
      <c r="C438" s="12"/>
      <c r="D438" s="12"/>
      <c r="E438" s="12"/>
      <c r="F438" s="12"/>
      <c r="G438" s="6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66"/>
      <c r="C439" s="12"/>
      <c r="D439" s="12"/>
      <c r="E439" s="12"/>
      <c r="F439" s="12"/>
      <c r="G439" s="6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66"/>
      <c r="C440" s="12"/>
      <c r="D440" s="12"/>
      <c r="E440" s="12"/>
      <c r="F440" s="12"/>
      <c r="G440" s="6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66"/>
      <c r="C441" s="12"/>
      <c r="D441" s="12"/>
      <c r="E441" s="12"/>
      <c r="F441" s="12"/>
      <c r="G441" s="6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66"/>
      <c r="C442" s="12"/>
      <c r="D442" s="12"/>
      <c r="E442" s="12"/>
      <c r="F442" s="12"/>
      <c r="G442" s="6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66"/>
      <c r="C443" s="12"/>
      <c r="D443" s="12"/>
      <c r="E443" s="12"/>
      <c r="F443" s="12"/>
      <c r="G443" s="6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66"/>
      <c r="C444" s="12"/>
      <c r="D444" s="12"/>
      <c r="E444" s="12"/>
      <c r="F444" s="12"/>
      <c r="G444" s="6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66"/>
      <c r="C445" s="12"/>
      <c r="D445" s="12"/>
      <c r="E445" s="12"/>
      <c r="F445" s="12"/>
      <c r="G445" s="6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66"/>
      <c r="C446" s="12"/>
      <c r="D446" s="12"/>
      <c r="E446" s="12"/>
      <c r="F446" s="12"/>
      <c r="G446" s="6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66"/>
      <c r="C447" s="12"/>
      <c r="D447" s="12"/>
      <c r="E447" s="12"/>
      <c r="F447" s="12"/>
      <c r="G447" s="6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66"/>
      <c r="C448" s="12"/>
      <c r="D448" s="12"/>
      <c r="E448" s="12"/>
      <c r="F448" s="12"/>
      <c r="G448" s="6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66"/>
      <c r="C449" s="12"/>
      <c r="D449" s="12"/>
      <c r="E449" s="12"/>
      <c r="F449" s="12"/>
      <c r="G449" s="6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66"/>
      <c r="C450" s="12"/>
      <c r="D450" s="12"/>
      <c r="E450" s="12"/>
      <c r="F450" s="12"/>
      <c r="G450" s="6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66"/>
      <c r="C451" s="12"/>
      <c r="D451" s="12"/>
      <c r="E451" s="12"/>
      <c r="F451" s="12"/>
      <c r="G451" s="6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66"/>
      <c r="C452" s="12"/>
      <c r="D452" s="12"/>
      <c r="E452" s="12"/>
      <c r="F452" s="12"/>
      <c r="G452" s="6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66"/>
      <c r="C453" s="12"/>
      <c r="D453" s="12"/>
      <c r="E453" s="12"/>
      <c r="F453" s="12"/>
      <c r="G453" s="6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66"/>
      <c r="C454" s="12"/>
      <c r="D454" s="12"/>
      <c r="E454" s="12"/>
      <c r="F454" s="12"/>
      <c r="G454" s="6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66"/>
      <c r="C455" s="12"/>
      <c r="D455" s="12"/>
      <c r="E455" s="12"/>
      <c r="F455" s="12"/>
      <c r="G455" s="6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66"/>
      <c r="C456" s="12"/>
      <c r="D456" s="12"/>
      <c r="E456" s="12"/>
      <c r="F456" s="12"/>
      <c r="G456" s="6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66"/>
      <c r="C457" s="12"/>
      <c r="D457" s="12"/>
      <c r="E457" s="12"/>
      <c r="F457" s="12"/>
      <c r="G457" s="6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66"/>
      <c r="C458" s="12"/>
      <c r="D458" s="12"/>
      <c r="E458" s="12"/>
      <c r="F458" s="12"/>
      <c r="G458" s="6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66"/>
      <c r="C459" s="12"/>
      <c r="D459" s="12"/>
      <c r="E459" s="12"/>
      <c r="F459" s="12"/>
      <c r="G459" s="6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66"/>
      <c r="C460" s="12"/>
      <c r="D460" s="12"/>
      <c r="E460" s="12"/>
      <c r="F460" s="12"/>
      <c r="G460" s="6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66"/>
      <c r="C461" s="12"/>
      <c r="D461" s="12"/>
      <c r="E461" s="12"/>
      <c r="F461" s="12"/>
      <c r="G461" s="6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66"/>
      <c r="C462" s="12"/>
      <c r="D462" s="12"/>
      <c r="E462" s="12"/>
      <c r="F462" s="12"/>
      <c r="G462" s="6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66"/>
      <c r="C463" s="12"/>
      <c r="D463" s="12"/>
      <c r="E463" s="12"/>
      <c r="F463" s="12"/>
      <c r="G463" s="6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66"/>
      <c r="C464" s="12"/>
      <c r="D464" s="12"/>
      <c r="E464" s="12"/>
      <c r="F464" s="12"/>
      <c r="G464" s="6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66"/>
      <c r="C465" s="12"/>
      <c r="D465" s="12"/>
      <c r="E465" s="12"/>
      <c r="F465" s="12"/>
      <c r="G465" s="6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66"/>
      <c r="C466" s="12"/>
      <c r="D466" s="12"/>
      <c r="E466" s="12"/>
      <c r="F466" s="12"/>
      <c r="G466" s="6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66"/>
      <c r="C467" s="12"/>
      <c r="D467" s="12"/>
      <c r="E467" s="12"/>
      <c r="F467" s="12"/>
      <c r="G467" s="6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66"/>
      <c r="C468" s="12"/>
      <c r="D468" s="12"/>
      <c r="E468" s="12"/>
      <c r="F468" s="12"/>
      <c r="G468" s="6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66"/>
      <c r="C469" s="12"/>
      <c r="D469" s="12"/>
      <c r="E469" s="12"/>
      <c r="F469" s="12"/>
      <c r="G469" s="6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66"/>
      <c r="C470" s="12"/>
      <c r="D470" s="12"/>
      <c r="E470" s="12"/>
      <c r="F470" s="12"/>
      <c r="G470" s="6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66"/>
      <c r="C471" s="12"/>
      <c r="D471" s="12"/>
      <c r="E471" s="12"/>
      <c r="F471" s="12"/>
      <c r="G471" s="6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66"/>
      <c r="C472" s="12"/>
      <c r="D472" s="12"/>
      <c r="E472" s="12"/>
      <c r="F472" s="12"/>
      <c r="G472" s="6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66"/>
      <c r="C473" s="12"/>
      <c r="D473" s="12"/>
      <c r="E473" s="12"/>
      <c r="F473" s="12"/>
      <c r="G473" s="6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66"/>
      <c r="C474" s="12"/>
      <c r="D474" s="12"/>
      <c r="E474" s="12"/>
      <c r="F474" s="12"/>
      <c r="G474" s="6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66"/>
      <c r="C475" s="12"/>
      <c r="D475" s="12"/>
      <c r="E475" s="12"/>
      <c r="F475" s="12"/>
      <c r="G475" s="6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66"/>
      <c r="C476" s="12"/>
      <c r="D476" s="12"/>
      <c r="E476" s="12"/>
      <c r="F476" s="12"/>
      <c r="G476" s="6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66"/>
      <c r="C477" s="12"/>
      <c r="D477" s="12"/>
      <c r="E477" s="12"/>
      <c r="F477" s="12"/>
      <c r="G477" s="6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66"/>
      <c r="C478" s="12"/>
      <c r="D478" s="12"/>
      <c r="E478" s="12"/>
      <c r="F478" s="12"/>
      <c r="G478" s="6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66"/>
      <c r="C479" s="12"/>
      <c r="D479" s="12"/>
      <c r="E479" s="12"/>
      <c r="F479" s="12"/>
      <c r="G479" s="6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66"/>
      <c r="C480" s="12"/>
      <c r="D480" s="12"/>
      <c r="E480" s="12"/>
      <c r="F480" s="12"/>
      <c r="G480" s="6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66"/>
      <c r="C481" s="12"/>
      <c r="D481" s="12"/>
      <c r="E481" s="12"/>
      <c r="F481" s="12"/>
      <c r="G481" s="6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66"/>
      <c r="C482" s="12"/>
      <c r="D482" s="12"/>
      <c r="E482" s="12"/>
      <c r="F482" s="12"/>
      <c r="G482" s="6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66"/>
      <c r="C483" s="12"/>
      <c r="D483" s="12"/>
      <c r="E483" s="12"/>
      <c r="F483" s="12"/>
      <c r="G483" s="6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66"/>
      <c r="C484" s="12"/>
      <c r="D484" s="12"/>
      <c r="E484" s="12"/>
      <c r="F484" s="12"/>
      <c r="G484" s="6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66"/>
      <c r="C485" s="12"/>
      <c r="D485" s="12"/>
      <c r="E485" s="12"/>
      <c r="F485" s="12"/>
      <c r="G485" s="6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66"/>
      <c r="C486" s="12"/>
      <c r="D486" s="12"/>
      <c r="E486" s="12"/>
      <c r="F486" s="12"/>
      <c r="G486" s="6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66"/>
      <c r="C487" s="12"/>
      <c r="D487" s="12"/>
      <c r="E487" s="12"/>
      <c r="F487" s="12"/>
      <c r="G487" s="6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66"/>
      <c r="C488" s="12"/>
      <c r="D488" s="12"/>
      <c r="E488" s="12"/>
      <c r="F488" s="12"/>
      <c r="G488" s="6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66"/>
      <c r="C489" s="12"/>
      <c r="D489" s="12"/>
      <c r="E489" s="12"/>
      <c r="F489" s="12"/>
      <c r="G489" s="6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66"/>
      <c r="C490" s="12"/>
      <c r="D490" s="12"/>
      <c r="E490" s="12"/>
      <c r="F490" s="12"/>
      <c r="G490" s="6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66"/>
      <c r="C491" s="12"/>
      <c r="D491" s="12"/>
      <c r="E491" s="12"/>
      <c r="F491" s="12"/>
      <c r="G491" s="6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66"/>
      <c r="C492" s="12"/>
      <c r="D492" s="12"/>
      <c r="E492" s="12"/>
      <c r="F492" s="12"/>
      <c r="G492" s="6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66"/>
      <c r="C493" s="12"/>
      <c r="D493" s="12"/>
      <c r="E493" s="12"/>
      <c r="F493" s="12"/>
      <c r="G493" s="6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66"/>
      <c r="C494" s="12"/>
      <c r="D494" s="12"/>
      <c r="E494" s="12"/>
      <c r="F494" s="12"/>
      <c r="G494" s="6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66"/>
      <c r="C495" s="12"/>
      <c r="D495" s="12"/>
      <c r="E495" s="12"/>
      <c r="F495" s="12"/>
      <c r="G495" s="6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66"/>
      <c r="C496" s="12"/>
      <c r="D496" s="12"/>
      <c r="E496" s="12"/>
      <c r="F496" s="12"/>
      <c r="G496" s="6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66"/>
      <c r="C497" s="12"/>
      <c r="D497" s="12"/>
      <c r="E497" s="12"/>
      <c r="F497" s="12"/>
      <c r="G497" s="6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66"/>
      <c r="C498" s="12"/>
      <c r="D498" s="12"/>
      <c r="E498" s="12"/>
      <c r="F498" s="12"/>
      <c r="G498" s="6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66"/>
      <c r="C499" s="12"/>
      <c r="D499" s="12"/>
      <c r="E499" s="12"/>
      <c r="F499" s="12"/>
      <c r="G499" s="6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66"/>
      <c r="C500" s="12"/>
      <c r="D500" s="12"/>
      <c r="E500" s="12"/>
      <c r="F500" s="12"/>
      <c r="G500" s="67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66"/>
      <c r="C501" s="12"/>
      <c r="D501" s="12"/>
      <c r="E501" s="12"/>
      <c r="F501" s="12"/>
      <c r="G501" s="67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66"/>
      <c r="C502" s="12"/>
      <c r="D502" s="12"/>
      <c r="E502" s="12"/>
      <c r="F502" s="12"/>
      <c r="G502" s="67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66"/>
      <c r="C503" s="12"/>
      <c r="D503" s="12"/>
      <c r="E503" s="12"/>
      <c r="F503" s="12"/>
      <c r="G503" s="67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66"/>
      <c r="C504" s="12"/>
      <c r="D504" s="12"/>
      <c r="E504" s="12"/>
      <c r="F504" s="12"/>
      <c r="G504" s="67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66"/>
      <c r="C505" s="12"/>
      <c r="D505" s="12"/>
      <c r="E505" s="12"/>
      <c r="F505" s="12"/>
      <c r="G505" s="67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66"/>
      <c r="C506" s="12"/>
      <c r="D506" s="12"/>
      <c r="E506" s="12"/>
      <c r="F506" s="12"/>
      <c r="G506" s="67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66"/>
      <c r="C507" s="12"/>
      <c r="D507" s="12"/>
      <c r="E507" s="12"/>
      <c r="F507" s="12"/>
      <c r="G507" s="67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66"/>
      <c r="C508" s="12"/>
      <c r="D508" s="12"/>
      <c r="E508" s="12"/>
      <c r="F508" s="12"/>
      <c r="G508" s="67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66"/>
      <c r="C509" s="12"/>
      <c r="D509" s="12"/>
      <c r="E509" s="12"/>
      <c r="F509" s="12"/>
      <c r="G509" s="67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66"/>
      <c r="C510" s="12"/>
      <c r="D510" s="12"/>
      <c r="E510" s="12"/>
      <c r="F510" s="12"/>
      <c r="G510" s="67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66"/>
      <c r="C511" s="12"/>
      <c r="D511" s="12"/>
      <c r="E511" s="12"/>
      <c r="F511" s="12"/>
      <c r="G511" s="67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66"/>
      <c r="C512" s="12"/>
      <c r="D512" s="12"/>
      <c r="E512" s="12"/>
      <c r="F512" s="12"/>
      <c r="G512" s="67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66"/>
      <c r="C513" s="12"/>
      <c r="D513" s="12"/>
      <c r="E513" s="12"/>
      <c r="F513" s="12"/>
      <c r="G513" s="67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66"/>
      <c r="C514" s="12"/>
      <c r="D514" s="12"/>
      <c r="E514" s="12"/>
      <c r="F514" s="12"/>
      <c r="G514" s="67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66"/>
      <c r="C515" s="12"/>
      <c r="D515" s="12"/>
      <c r="E515" s="12"/>
      <c r="F515" s="12"/>
      <c r="G515" s="67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66"/>
      <c r="C516" s="12"/>
      <c r="D516" s="12"/>
      <c r="E516" s="12"/>
      <c r="F516" s="12"/>
      <c r="G516" s="67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66"/>
      <c r="C517" s="12"/>
      <c r="D517" s="12"/>
      <c r="E517" s="12"/>
      <c r="F517" s="12"/>
      <c r="G517" s="67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66"/>
      <c r="C518" s="12"/>
      <c r="D518" s="12"/>
      <c r="E518" s="12"/>
      <c r="F518" s="12"/>
      <c r="G518" s="67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66"/>
      <c r="C519" s="12"/>
      <c r="D519" s="12"/>
      <c r="E519" s="12"/>
      <c r="F519" s="12"/>
      <c r="G519" s="67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66"/>
      <c r="C520" s="12"/>
      <c r="D520" s="12"/>
      <c r="E520" s="12"/>
      <c r="F520" s="12"/>
      <c r="G520" s="67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66"/>
      <c r="C521" s="12"/>
      <c r="D521" s="12"/>
      <c r="E521" s="12"/>
      <c r="F521" s="12"/>
      <c r="G521" s="67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66"/>
      <c r="C522" s="12"/>
      <c r="D522" s="12"/>
      <c r="E522" s="12"/>
      <c r="F522" s="12"/>
      <c r="G522" s="67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66"/>
      <c r="C523" s="12"/>
      <c r="D523" s="12"/>
      <c r="E523" s="12"/>
      <c r="F523" s="12"/>
      <c r="G523" s="67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66"/>
      <c r="C524" s="12"/>
      <c r="D524" s="12"/>
      <c r="E524" s="12"/>
      <c r="F524" s="12"/>
      <c r="G524" s="67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66"/>
      <c r="C525" s="12"/>
      <c r="D525" s="12"/>
      <c r="E525" s="12"/>
      <c r="F525" s="12"/>
      <c r="G525" s="67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66"/>
      <c r="C526" s="12"/>
      <c r="D526" s="12"/>
      <c r="E526" s="12"/>
      <c r="F526" s="12"/>
      <c r="G526" s="67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66"/>
      <c r="C527" s="12"/>
      <c r="D527" s="12"/>
      <c r="E527" s="12"/>
      <c r="F527" s="12"/>
      <c r="G527" s="67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66"/>
      <c r="C528" s="12"/>
      <c r="D528" s="12"/>
      <c r="E528" s="12"/>
      <c r="F528" s="12"/>
      <c r="G528" s="67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66"/>
      <c r="C529" s="12"/>
      <c r="D529" s="12"/>
      <c r="E529" s="12"/>
      <c r="F529" s="12"/>
      <c r="G529" s="67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66"/>
      <c r="C530" s="12"/>
      <c r="D530" s="12"/>
      <c r="E530" s="12"/>
      <c r="F530" s="12"/>
      <c r="G530" s="67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66"/>
      <c r="C531" s="12"/>
      <c r="D531" s="12"/>
      <c r="E531" s="12"/>
      <c r="F531" s="12"/>
      <c r="G531" s="67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66"/>
      <c r="C532" s="12"/>
      <c r="D532" s="12"/>
      <c r="E532" s="12"/>
      <c r="F532" s="12"/>
      <c r="G532" s="67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66"/>
      <c r="C533" s="12"/>
      <c r="D533" s="12"/>
      <c r="E533" s="12"/>
      <c r="F533" s="12"/>
      <c r="G533" s="67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66"/>
      <c r="C534" s="12"/>
      <c r="D534" s="12"/>
      <c r="E534" s="12"/>
      <c r="F534" s="12"/>
      <c r="G534" s="67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66"/>
      <c r="C535" s="12"/>
      <c r="D535" s="12"/>
      <c r="E535" s="12"/>
      <c r="F535" s="12"/>
      <c r="G535" s="67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66"/>
      <c r="C536" s="12"/>
      <c r="D536" s="12"/>
      <c r="E536" s="12"/>
      <c r="F536" s="12"/>
      <c r="G536" s="67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66"/>
      <c r="C537" s="12"/>
      <c r="D537" s="12"/>
      <c r="E537" s="12"/>
      <c r="F537" s="12"/>
      <c r="G537" s="67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66"/>
      <c r="C538" s="12"/>
      <c r="D538" s="12"/>
      <c r="E538" s="12"/>
      <c r="F538" s="12"/>
      <c r="G538" s="67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66"/>
      <c r="C539" s="12"/>
      <c r="D539" s="12"/>
      <c r="E539" s="12"/>
      <c r="F539" s="12"/>
      <c r="G539" s="67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66"/>
      <c r="C540" s="12"/>
      <c r="D540" s="12"/>
      <c r="E540" s="12"/>
      <c r="F540" s="12"/>
      <c r="G540" s="67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66"/>
      <c r="C541" s="12"/>
      <c r="D541" s="12"/>
      <c r="E541" s="12"/>
      <c r="F541" s="12"/>
      <c r="G541" s="67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66"/>
      <c r="C542" s="12"/>
      <c r="D542" s="12"/>
      <c r="E542" s="12"/>
      <c r="F542" s="12"/>
      <c r="G542" s="67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66"/>
      <c r="C543" s="12"/>
      <c r="D543" s="12"/>
      <c r="E543" s="12"/>
      <c r="F543" s="12"/>
      <c r="G543" s="67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66"/>
      <c r="C544" s="12"/>
      <c r="D544" s="12"/>
      <c r="E544" s="12"/>
      <c r="F544" s="12"/>
      <c r="G544" s="67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66"/>
      <c r="C545" s="12"/>
      <c r="D545" s="12"/>
      <c r="E545" s="12"/>
      <c r="F545" s="12"/>
      <c r="G545" s="67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66"/>
      <c r="C546" s="12"/>
      <c r="D546" s="12"/>
      <c r="E546" s="12"/>
      <c r="F546" s="12"/>
      <c r="G546" s="67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66"/>
      <c r="C547" s="12"/>
      <c r="D547" s="12"/>
      <c r="E547" s="12"/>
      <c r="F547" s="12"/>
      <c r="G547" s="67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66"/>
      <c r="C548" s="12"/>
      <c r="D548" s="12"/>
      <c r="E548" s="12"/>
      <c r="F548" s="12"/>
      <c r="G548" s="67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66"/>
      <c r="C549" s="12"/>
      <c r="D549" s="12"/>
      <c r="E549" s="12"/>
      <c r="F549" s="12"/>
      <c r="G549" s="67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66"/>
      <c r="C550" s="12"/>
      <c r="D550" s="12"/>
      <c r="E550" s="12"/>
      <c r="F550" s="12"/>
      <c r="G550" s="67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66"/>
      <c r="C551" s="12"/>
      <c r="D551" s="12"/>
      <c r="E551" s="12"/>
      <c r="F551" s="12"/>
      <c r="G551" s="67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66"/>
      <c r="C552" s="12"/>
      <c r="D552" s="12"/>
      <c r="E552" s="12"/>
      <c r="F552" s="12"/>
      <c r="G552" s="67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66"/>
      <c r="C553" s="12"/>
      <c r="D553" s="12"/>
      <c r="E553" s="12"/>
      <c r="F553" s="12"/>
      <c r="G553" s="67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66"/>
      <c r="C554" s="12"/>
      <c r="D554" s="12"/>
      <c r="E554" s="12"/>
      <c r="F554" s="12"/>
      <c r="G554" s="67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66"/>
      <c r="C555" s="12"/>
      <c r="D555" s="12"/>
      <c r="E555" s="12"/>
      <c r="F555" s="12"/>
      <c r="G555" s="67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66"/>
      <c r="C556" s="12"/>
      <c r="D556" s="12"/>
      <c r="E556" s="12"/>
      <c r="F556" s="12"/>
      <c r="G556" s="67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66"/>
      <c r="C557" s="12"/>
      <c r="D557" s="12"/>
      <c r="E557" s="12"/>
      <c r="F557" s="12"/>
      <c r="G557" s="67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66"/>
      <c r="C558" s="12"/>
      <c r="D558" s="12"/>
      <c r="E558" s="12"/>
      <c r="F558" s="12"/>
      <c r="G558" s="67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66"/>
      <c r="C559" s="12"/>
      <c r="D559" s="12"/>
      <c r="E559" s="12"/>
      <c r="F559" s="12"/>
      <c r="G559" s="67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66"/>
      <c r="C560" s="12"/>
      <c r="D560" s="12"/>
      <c r="E560" s="12"/>
      <c r="F560" s="12"/>
      <c r="G560" s="67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66"/>
      <c r="C561" s="12"/>
      <c r="D561" s="12"/>
      <c r="E561" s="12"/>
      <c r="F561" s="12"/>
      <c r="G561" s="67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66"/>
      <c r="C562" s="12"/>
      <c r="D562" s="12"/>
      <c r="E562" s="12"/>
      <c r="F562" s="12"/>
      <c r="G562" s="67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66"/>
      <c r="C563" s="12"/>
      <c r="D563" s="12"/>
      <c r="E563" s="12"/>
      <c r="F563" s="12"/>
      <c r="G563" s="67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66"/>
      <c r="C564" s="12"/>
      <c r="D564" s="12"/>
      <c r="E564" s="12"/>
      <c r="F564" s="12"/>
      <c r="G564" s="67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66"/>
      <c r="C565" s="12"/>
      <c r="D565" s="12"/>
      <c r="E565" s="12"/>
      <c r="F565" s="12"/>
      <c r="G565" s="67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66"/>
      <c r="C566" s="12"/>
      <c r="D566" s="12"/>
      <c r="E566" s="12"/>
      <c r="F566" s="12"/>
      <c r="G566" s="67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66"/>
      <c r="C567" s="12"/>
      <c r="D567" s="12"/>
      <c r="E567" s="12"/>
      <c r="F567" s="12"/>
      <c r="G567" s="67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66"/>
      <c r="C568" s="12"/>
      <c r="D568" s="12"/>
      <c r="E568" s="12"/>
      <c r="F568" s="12"/>
      <c r="G568" s="67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66"/>
      <c r="C569" s="12"/>
      <c r="D569" s="12"/>
      <c r="E569" s="12"/>
      <c r="F569" s="12"/>
      <c r="G569" s="67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66"/>
      <c r="C570" s="12"/>
      <c r="D570" s="12"/>
      <c r="E570" s="12"/>
      <c r="F570" s="12"/>
      <c r="G570" s="67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66"/>
      <c r="C571" s="12"/>
      <c r="D571" s="12"/>
      <c r="E571" s="12"/>
      <c r="F571" s="12"/>
      <c r="G571" s="67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66"/>
      <c r="C572" s="12"/>
      <c r="D572" s="12"/>
      <c r="E572" s="12"/>
      <c r="F572" s="12"/>
      <c r="G572" s="67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66"/>
      <c r="C573" s="12"/>
      <c r="D573" s="12"/>
      <c r="E573" s="12"/>
      <c r="F573" s="12"/>
      <c r="G573" s="67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66"/>
      <c r="C574" s="12"/>
      <c r="D574" s="12"/>
      <c r="E574" s="12"/>
      <c r="F574" s="12"/>
      <c r="G574" s="67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66"/>
      <c r="C575" s="12"/>
      <c r="D575" s="12"/>
      <c r="E575" s="12"/>
      <c r="F575" s="12"/>
      <c r="G575" s="67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66"/>
      <c r="C576" s="12"/>
      <c r="D576" s="12"/>
      <c r="E576" s="12"/>
      <c r="F576" s="12"/>
      <c r="G576" s="67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66"/>
      <c r="C577" s="12"/>
      <c r="D577" s="12"/>
      <c r="E577" s="12"/>
      <c r="F577" s="12"/>
      <c r="G577" s="67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66"/>
      <c r="C578" s="12"/>
      <c r="D578" s="12"/>
      <c r="E578" s="12"/>
      <c r="F578" s="12"/>
      <c r="G578" s="67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66"/>
      <c r="C579" s="12"/>
      <c r="D579" s="12"/>
      <c r="E579" s="12"/>
      <c r="F579" s="12"/>
      <c r="G579" s="67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66"/>
      <c r="C580" s="12"/>
      <c r="D580" s="12"/>
      <c r="E580" s="12"/>
      <c r="F580" s="12"/>
      <c r="G580" s="67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66"/>
      <c r="C581" s="12"/>
      <c r="D581" s="12"/>
      <c r="E581" s="12"/>
      <c r="F581" s="12"/>
      <c r="G581" s="67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66"/>
      <c r="C582" s="12"/>
      <c r="D582" s="12"/>
      <c r="E582" s="12"/>
      <c r="F582" s="12"/>
      <c r="G582" s="67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66"/>
      <c r="C583" s="12"/>
      <c r="D583" s="12"/>
      <c r="E583" s="12"/>
      <c r="F583" s="12"/>
      <c r="G583" s="67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66"/>
      <c r="C584" s="12"/>
      <c r="D584" s="12"/>
      <c r="E584" s="12"/>
      <c r="F584" s="12"/>
      <c r="G584" s="67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66"/>
      <c r="C585" s="12"/>
      <c r="D585" s="12"/>
      <c r="E585" s="12"/>
      <c r="F585" s="12"/>
      <c r="G585" s="67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66"/>
      <c r="C586" s="12"/>
      <c r="D586" s="12"/>
      <c r="E586" s="12"/>
      <c r="F586" s="12"/>
      <c r="G586" s="67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66"/>
      <c r="C587" s="12"/>
      <c r="D587" s="12"/>
      <c r="E587" s="12"/>
      <c r="F587" s="12"/>
      <c r="G587" s="67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66"/>
      <c r="C588" s="12"/>
      <c r="D588" s="12"/>
      <c r="E588" s="12"/>
      <c r="F588" s="12"/>
      <c r="G588" s="67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66"/>
      <c r="C589" s="12"/>
      <c r="D589" s="12"/>
      <c r="E589" s="12"/>
      <c r="F589" s="12"/>
      <c r="G589" s="67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66"/>
      <c r="C590" s="12"/>
      <c r="D590" s="12"/>
      <c r="E590" s="12"/>
      <c r="F590" s="12"/>
      <c r="G590" s="67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66"/>
      <c r="C591" s="12"/>
      <c r="D591" s="12"/>
      <c r="E591" s="12"/>
      <c r="F591" s="12"/>
      <c r="G591" s="67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66"/>
      <c r="C592" s="12"/>
      <c r="D592" s="12"/>
      <c r="E592" s="12"/>
      <c r="F592" s="12"/>
      <c r="G592" s="67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66"/>
      <c r="C593" s="12"/>
      <c r="D593" s="12"/>
      <c r="E593" s="12"/>
      <c r="F593" s="12"/>
      <c r="G593" s="67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66"/>
      <c r="C594" s="12"/>
      <c r="D594" s="12"/>
      <c r="E594" s="12"/>
      <c r="F594" s="12"/>
      <c r="G594" s="67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66"/>
      <c r="C595" s="12"/>
      <c r="D595" s="12"/>
      <c r="E595" s="12"/>
      <c r="F595" s="12"/>
      <c r="G595" s="67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66"/>
      <c r="C596" s="12"/>
      <c r="D596" s="12"/>
      <c r="E596" s="12"/>
      <c r="F596" s="12"/>
      <c r="G596" s="67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66"/>
      <c r="C597" s="12"/>
      <c r="D597" s="12"/>
      <c r="E597" s="12"/>
      <c r="F597" s="12"/>
      <c r="G597" s="67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66"/>
      <c r="C598" s="12"/>
      <c r="D598" s="12"/>
      <c r="E598" s="12"/>
      <c r="F598" s="12"/>
      <c r="G598" s="67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66"/>
      <c r="C599" s="12"/>
      <c r="D599" s="12"/>
      <c r="E599" s="12"/>
      <c r="F599" s="12"/>
      <c r="G599" s="67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66"/>
      <c r="C600" s="12"/>
      <c r="D600" s="12"/>
      <c r="E600" s="12"/>
      <c r="F600" s="12"/>
      <c r="G600" s="67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66"/>
      <c r="C601" s="12"/>
      <c r="D601" s="12"/>
      <c r="E601" s="12"/>
      <c r="F601" s="12"/>
      <c r="G601" s="67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66"/>
      <c r="C602" s="12"/>
      <c r="D602" s="12"/>
      <c r="E602" s="12"/>
      <c r="F602" s="12"/>
      <c r="G602" s="67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66"/>
      <c r="C603" s="12"/>
      <c r="D603" s="12"/>
      <c r="E603" s="12"/>
      <c r="F603" s="12"/>
      <c r="G603" s="67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66"/>
      <c r="C604" s="12"/>
      <c r="D604" s="12"/>
      <c r="E604" s="12"/>
      <c r="F604" s="12"/>
      <c r="G604" s="67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66"/>
      <c r="C605" s="12"/>
      <c r="D605" s="12"/>
      <c r="E605" s="12"/>
      <c r="F605" s="12"/>
      <c r="G605" s="67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66"/>
      <c r="C606" s="12"/>
      <c r="D606" s="12"/>
      <c r="E606" s="12"/>
      <c r="F606" s="12"/>
      <c r="G606" s="67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66"/>
      <c r="C607" s="12"/>
      <c r="D607" s="12"/>
      <c r="E607" s="12"/>
      <c r="F607" s="12"/>
      <c r="G607" s="67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66"/>
      <c r="C608" s="12"/>
      <c r="D608" s="12"/>
      <c r="E608" s="12"/>
      <c r="F608" s="12"/>
      <c r="G608" s="67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66"/>
      <c r="C609" s="12"/>
      <c r="D609" s="12"/>
      <c r="E609" s="12"/>
      <c r="F609" s="12"/>
      <c r="G609" s="67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66"/>
      <c r="C610" s="12"/>
      <c r="D610" s="12"/>
      <c r="E610" s="12"/>
      <c r="F610" s="12"/>
      <c r="G610" s="67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66"/>
      <c r="C611" s="12"/>
      <c r="D611" s="12"/>
      <c r="E611" s="12"/>
      <c r="F611" s="12"/>
      <c r="G611" s="67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66"/>
      <c r="C612" s="12"/>
      <c r="D612" s="12"/>
      <c r="E612" s="12"/>
      <c r="F612" s="12"/>
      <c r="G612" s="67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66"/>
      <c r="C613" s="12"/>
      <c r="D613" s="12"/>
      <c r="E613" s="12"/>
      <c r="F613" s="12"/>
      <c r="G613" s="67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66"/>
      <c r="C614" s="12"/>
      <c r="D614" s="12"/>
      <c r="E614" s="12"/>
      <c r="F614" s="12"/>
      <c r="G614" s="67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66"/>
      <c r="C615" s="12"/>
      <c r="D615" s="12"/>
      <c r="E615" s="12"/>
      <c r="F615" s="12"/>
      <c r="G615" s="67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66"/>
      <c r="C616" s="12"/>
      <c r="D616" s="12"/>
      <c r="E616" s="12"/>
      <c r="F616" s="12"/>
      <c r="G616" s="67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66"/>
      <c r="C617" s="12"/>
      <c r="D617" s="12"/>
      <c r="E617" s="12"/>
      <c r="F617" s="12"/>
      <c r="G617" s="67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66"/>
      <c r="C618" s="12"/>
      <c r="D618" s="12"/>
      <c r="E618" s="12"/>
      <c r="F618" s="12"/>
      <c r="G618" s="67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66"/>
      <c r="C619" s="12"/>
      <c r="D619" s="12"/>
      <c r="E619" s="12"/>
      <c r="F619" s="12"/>
      <c r="G619" s="67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66"/>
      <c r="C620" s="12"/>
      <c r="D620" s="12"/>
      <c r="E620" s="12"/>
      <c r="F620" s="12"/>
      <c r="G620" s="67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66"/>
      <c r="C621" s="12"/>
      <c r="D621" s="12"/>
      <c r="E621" s="12"/>
      <c r="F621" s="12"/>
      <c r="G621" s="67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66"/>
      <c r="C622" s="12"/>
      <c r="D622" s="12"/>
      <c r="E622" s="12"/>
      <c r="F622" s="12"/>
      <c r="G622" s="67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66"/>
      <c r="C623" s="12"/>
      <c r="D623" s="12"/>
      <c r="E623" s="12"/>
      <c r="F623" s="12"/>
      <c r="G623" s="67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66"/>
      <c r="C624" s="12"/>
      <c r="D624" s="12"/>
      <c r="E624" s="12"/>
      <c r="F624" s="12"/>
      <c r="G624" s="67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66"/>
      <c r="C625" s="12"/>
      <c r="D625" s="12"/>
      <c r="E625" s="12"/>
      <c r="F625" s="12"/>
      <c r="G625" s="67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66"/>
      <c r="C626" s="12"/>
      <c r="D626" s="12"/>
      <c r="E626" s="12"/>
      <c r="F626" s="12"/>
      <c r="G626" s="67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66"/>
      <c r="C627" s="12"/>
      <c r="D627" s="12"/>
      <c r="E627" s="12"/>
      <c r="F627" s="12"/>
      <c r="G627" s="67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66"/>
      <c r="C628" s="12"/>
      <c r="D628" s="12"/>
      <c r="E628" s="12"/>
      <c r="F628" s="12"/>
      <c r="G628" s="67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66"/>
      <c r="C629" s="12"/>
      <c r="D629" s="12"/>
      <c r="E629" s="12"/>
      <c r="F629" s="12"/>
      <c r="G629" s="67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66"/>
      <c r="C630" s="12"/>
      <c r="D630" s="12"/>
      <c r="E630" s="12"/>
      <c r="F630" s="12"/>
      <c r="G630" s="67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66"/>
      <c r="C631" s="12"/>
      <c r="D631" s="12"/>
      <c r="E631" s="12"/>
      <c r="F631" s="12"/>
      <c r="G631" s="67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66"/>
      <c r="C632" s="12"/>
      <c r="D632" s="12"/>
      <c r="E632" s="12"/>
      <c r="F632" s="12"/>
      <c r="G632" s="67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66"/>
      <c r="C633" s="12"/>
      <c r="D633" s="12"/>
      <c r="E633" s="12"/>
      <c r="F633" s="12"/>
      <c r="G633" s="67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66"/>
      <c r="C634" s="12"/>
      <c r="D634" s="12"/>
      <c r="E634" s="12"/>
      <c r="F634" s="12"/>
      <c r="G634" s="67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66"/>
      <c r="C635" s="12"/>
      <c r="D635" s="12"/>
      <c r="E635" s="12"/>
      <c r="F635" s="12"/>
      <c r="G635" s="67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66"/>
      <c r="C636" s="12"/>
      <c r="D636" s="12"/>
      <c r="E636" s="12"/>
      <c r="F636" s="12"/>
      <c r="G636" s="67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66"/>
      <c r="C637" s="12"/>
      <c r="D637" s="12"/>
      <c r="E637" s="12"/>
      <c r="F637" s="12"/>
      <c r="G637" s="67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66"/>
      <c r="C638" s="12"/>
      <c r="D638" s="12"/>
      <c r="E638" s="12"/>
      <c r="F638" s="12"/>
      <c r="G638" s="67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66"/>
      <c r="C639" s="12"/>
      <c r="D639" s="12"/>
      <c r="E639" s="12"/>
      <c r="F639" s="12"/>
      <c r="G639" s="67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66"/>
      <c r="C640" s="12"/>
      <c r="D640" s="12"/>
      <c r="E640" s="12"/>
      <c r="F640" s="12"/>
      <c r="G640" s="67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66"/>
      <c r="C641" s="12"/>
      <c r="D641" s="12"/>
      <c r="E641" s="12"/>
      <c r="F641" s="12"/>
      <c r="G641" s="67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66"/>
      <c r="C642" s="12"/>
      <c r="D642" s="12"/>
      <c r="E642" s="12"/>
      <c r="F642" s="12"/>
      <c r="G642" s="67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66"/>
      <c r="C643" s="12"/>
      <c r="D643" s="12"/>
      <c r="E643" s="12"/>
      <c r="F643" s="12"/>
      <c r="G643" s="67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66"/>
      <c r="C644" s="12"/>
      <c r="D644" s="12"/>
      <c r="E644" s="12"/>
      <c r="F644" s="12"/>
      <c r="G644" s="67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66"/>
      <c r="C645" s="12"/>
      <c r="D645" s="12"/>
      <c r="E645" s="12"/>
      <c r="F645" s="12"/>
      <c r="G645" s="67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66"/>
      <c r="C646" s="12"/>
      <c r="D646" s="12"/>
      <c r="E646" s="12"/>
      <c r="F646" s="12"/>
      <c r="G646" s="67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66"/>
      <c r="C647" s="12"/>
      <c r="D647" s="12"/>
      <c r="E647" s="12"/>
      <c r="F647" s="12"/>
      <c r="G647" s="67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66"/>
      <c r="C648" s="12"/>
      <c r="D648" s="12"/>
      <c r="E648" s="12"/>
      <c r="F648" s="12"/>
      <c r="G648" s="67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66"/>
      <c r="C649" s="12"/>
      <c r="D649" s="12"/>
      <c r="E649" s="12"/>
      <c r="F649" s="12"/>
      <c r="G649" s="67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66"/>
      <c r="C650" s="12"/>
      <c r="D650" s="12"/>
      <c r="E650" s="12"/>
      <c r="F650" s="12"/>
      <c r="G650" s="67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66"/>
      <c r="C651" s="12"/>
      <c r="D651" s="12"/>
      <c r="E651" s="12"/>
      <c r="F651" s="12"/>
      <c r="G651" s="67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66"/>
      <c r="C652" s="12"/>
      <c r="D652" s="12"/>
      <c r="E652" s="12"/>
      <c r="F652" s="12"/>
      <c r="G652" s="67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66"/>
      <c r="C653" s="12"/>
      <c r="D653" s="12"/>
      <c r="E653" s="12"/>
      <c r="F653" s="12"/>
      <c r="G653" s="67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66"/>
      <c r="C654" s="12"/>
      <c r="D654" s="12"/>
      <c r="E654" s="12"/>
      <c r="F654" s="12"/>
      <c r="G654" s="67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66"/>
      <c r="C655" s="12"/>
      <c r="D655" s="12"/>
      <c r="E655" s="12"/>
      <c r="F655" s="12"/>
      <c r="G655" s="67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66"/>
      <c r="C656" s="12"/>
      <c r="D656" s="12"/>
      <c r="E656" s="12"/>
      <c r="F656" s="12"/>
      <c r="G656" s="67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66"/>
      <c r="C657" s="12"/>
      <c r="D657" s="12"/>
      <c r="E657" s="12"/>
      <c r="F657" s="12"/>
      <c r="G657" s="67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66"/>
      <c r="C658" s="12"/>
      <c r="D658" s="12"/>
      <c r="E658" s="12"/>
      <c r="F658" s="12"/>
      <c r="G658" s="67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66"/>
      <c r="C659" s="12"/>
      <c r="D659" s="12"/>
      <c r="E659" s="12"/>
      <c r="F659" s="12"/>
      <c r="G659" s="67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66"/>
      <c r="C660" s="12"/>
      <c r="D660" s="12"/>
      <c r="E660" s="12"/>
      <c r="F660" s="12"/>
      <c r="G660" s="67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66"/>
      <c r="C661" s="12"/>
      <c r="D661" s="12"/>
      <c r="E661" s="12"/>
      <c r="F661" s="12"/>
      <c r="G661" s="67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66"/>
      <c r="C662" s="12"/>
      <c r="D662" s="12"/>
      <c r="E662" s="12"/>
      <c r="F662" s="12"/>
      <c r="G662" s="67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66"/>
      <c r="C663" s="12"/>
      <c r="D663" s="12"/>
      <c r="E663" s="12"/>
      <c r="F663" s="12"/>
      <c r="G663" s="67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66"/>
      <c r="C664" s="12"/>
      <c r="D664" s="12"/>
      <c r="E664" s="12"/>
      <c r="F664" s="12"/>
      <c r="G664" s="67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66"/>
      <c r="C665" s="12"/>
      <c r="D665" s="12"/>
      <c r="E665" s="12"/>
      <c r="F665" s="12"/>
      <c r="G665" s="67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66"/>
      <c r="C666" s="12"/>
      <c r="D666" s="12"/>
      <c r="E666" s="12"/>
      <c r="F666" s="12"/>
      <c r="G666" s="67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66"/>
      <c r="C667" s="12"/>
      <c r="D667" s="12"/>
      <c r="E667" s="12"/>
      <c r="F667" s="12"/>
      <c r="G667" s="67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66"/>
      <c r="C668" s="12"/>
      <c r="D668" s="12"/>
      <c r="E668" s="12"/>
      <c r="F668" s="12"/>
      <c r="G668" s="67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66"/>
      <c r="C669" s="12"/>
      <c r="D669" s="12"/>
      <c r="E669" s="12"/>
      <c r="F669" s="12"/>
      <c r="G669" s="67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66"/>
      <c r="C670" s="12"/>
      <c r="D670" s="12"/>
      <c r="E670" s="12"/>
      <c r="F670" s="12"/>
      <c r="G670" s="67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66"/>
      <c r="C671" s="12"/>
      <c r="D671" s="12"/>
      <c r="E671" s="12"/>
      <c r="F671" s="12"/>
      <c r="G671" s="67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66"/>
      <c r="C672" s="12"/>
      <c r="D672" s="12"/>
      <c r="E672" s="12"/>
      <c r="F672" s="12"/>
      <c r="G672" s="67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66"/>
      <c r="C673" s="12"/>
      <c r="D673" s="12"/>
      <c r="E673" s="12"/>
      <c r="F673" s="12"/>
      <c r="G673" s="67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66"/>
      <c r="C674" s="12"/>
      <c r="D674" s="12"/>
      <c r="E674" s="12"/>
      <c r="F674" s="12"/>
      <c r="G674" s="67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66"/>
      <c r="C675" s="12"/>
      <c r="D675" s="12"/>
      <c r="E675" s="12"/>
      <c r="F675" s="12"/>
      <c r="G675" s="67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66"/>
      <c r="C676" s="12"/>
      <c r="D676" s="12"/>
      <c r="E676" s="12"/>
      <c r="F676" s="12"/>
      <c r="G676" s="67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66"/>
      <c r="C677" s="12"/>
      <c r="D677" s="12"/>
      <c r="E677" s="12"/>
      <c r="F677" s="12"/>
      <c r="G677" s="67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66"/>
      <c r="C678" s="12"/>
      <c r="D678" s="12"/>
      <c r="E678" s="12"/>
      <c r="F678" s="12"/>
      <c r="G678" s="67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66"/>
      <c r="C679" s="12"/>
      <c r="D679" s="12"/>
      <c r="E679" s="12"/>
      <c r="F679" s="12"/>
      <c r="G679" s="67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66"/>
      <c r="C680" s="12"/>
      <c r="D680" s="12"/>
      <c r="E680" s="12"/>
      <c r="F680" s="12"/>
      <c r="G680" s="67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66"/>
      <c r="C681" s="12"/>
      <c r="D681" s="12"/>
      <c r="E681" s="12"/>
      <c r="F681" s="12"/>
      <c r="G681" s="67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66"/>
      <c r="C682" s="12"/>
      <c r="D682" s="12"/>
      <c r="E682" s="12"/>
      <c r="F682" s="12"/>
      <c r="G682" s="67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66"/>
      <c r="C683" s="12"/>
      <c r="D683" s="12"/>
      <c r="E683" s="12"/>
      <c r="F683" s="12"/>
      <c r="G683" s="67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66"/>
      <c r="C684" s="12"/>
      <c r="D684" s="12"/>
      <c r="E684" s="12"/>
      <c r="F684" s="12"/>
      <c r="G684" s="67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66"/>
      <c r="C685" s="12"/>
      <c r="D685" s="12"/>
      <c r="E685" s="12"/>
      <c r="F685" s="12"/>
      <c r="G685" s="67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66"/>
      <c r="C686" s="12"/>
      <c r="D686" s="12"/>
      <c r="E686" s="12"/>
      <c r="F686" s="12"/>
      <c r="G686" s="67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66"/>
      <c r="C687" s="12"/>
      <c r="D687" s="12"/>
      <c r="E687" s="12"/>
      <c r="F687" s="12"/>
      <c r="G687" s="67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66"/>
      <c r="C688" s="12"/>
      <c r="D688" s="12"/>
      <c r="E688" s="12"/>
      <c r="F688" s="12"/>
      <c r="G688" s="67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66"/>
      <c r="C689" s="12"/>
      <c r="D689" s="12"/>
      <c r="E689" s="12"/>
      <c r="F689" s="12"/>
      <c r="G689" s="67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66"/>
      <c r="C690" s="12"/>
      <c r="D690" s="12"/>
      <c r="E690" s="12"/>
      <c r="F690" s="12"/>
      <c r="G690" s="67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66"/>
      <c r="C691" s="12"/>
      <c r="D691" s="12"/>
      <c r="E691" s="12"/>
      <c r="F691" s="12"/>
      <c r="G691" s="67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66"/>
      <c r="C692" s="12"/>
      <c r="D692" s="12"/>
      <c r="E692" s="12"/>
      <c r="F692" s="12"/>
      <c r="G692" s="67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66"/>
      <c r="C693" s="12"/>
      <c r="D693" s="12"/>
      <c r="E693" s="12"/>
      <c r="F693" s="12"/>
      <c r="G693" s="67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66"/>
      <c r="C694" s="12"/>
      <c r="D694" s="12"/>
      <c r="E694" s="12"/>
      <c r="F694" s="12"/>
      <c r="G694" s="67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66"/>
      <c r="C695" s="12"/>
      <c r="D695" s="12"/>
      <c r="E695" s="12"/>
      <c r="F695" s="12"/>
      <c r="G695" s="67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66"/>
      <c r="C696" s="12"/>
      <c r="D696" s="12"/>
      <c r="E696" s="12"/>
      <c r="F696" s="12"/>
      <c r="G696" s="67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66"/>
      <c r="C697" s="12"/>
      <c r="D697" s="12"/>
      <c r="E697" s="12"/>
      <c r="F697" s="12"/>
      <c r="G697" s="67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66"/>
      <c r="C698" s="12"/>
      <c r="D698" s="12"/>
      <c r="E698" s="12"/>
      <c r="F698" s="12"/>
      <c r="G698" s="67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66"/>
      <c r="C699" s="12"/>
      <c r="D699" s="12"/>
      <c r="E699" s="12"/>
      <c r="F699" s="12"/>
      <c r="G699" s="67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66"/>
      <c r="C700" s="12"/>
      <c r="D700" s="12"/>
      <c r="E700" s="12"/>
      <c r="F700" s="12"/>
      <c r="G700" s="67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66"/>
      <c r="C701" s="12"/>
      <c r="D701" s="12"/>
      <c r="E701" s="12"/>
      <c r="F701" s="12"/>
      <c r="G701" s="67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66"/>
      <c r="C702" s="12"/>
      <c r="D702" s="12"/>
      <c r="E702" s="12"/>
      <c r="F702" s="12"/>
      <c r="G702" s="67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66"/>
      <c r="C703" s="12"/>
      <c r="D703" s="12"/>
      <c r="E703" s="12"/>
      <c r="F703" s="12"/>
      <c r="G703" s="67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66"/>
      <c r="C704" s="12"/>
      <c r="D704" s="12"/>
      <c r="E704" s="12"/>
      <c r="F704" s="12"/>
      <c r="G704" s="67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66"/>
      <c r="C705" s="12"/>
      <c r="D705" s="12"/>
      <c r="E705" s="12"/>
      <c r="F705" s="12"/>
      <c r="G705" s="67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66"/>
      <c r="C706" s="12"/>
      <c r="D706" s="12"/>
      <c r="E706" s="12"/>
      <c r="F706" s="12"/>
      <c r="G706" s="67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66"/>
      <c r="C707" s="12"/>
      <c r="D707" s="12"/>
      <c r="E707" s="12"/>
      <c r="F707" s="12"/>
      <c r="G707" s="67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66"/>
      <c r="C708" s="12"/>
      <c r="D708" s="12"/>
      <c r="E708" s="12"/>
      <c r="F708" s="12"/>
      <c r="G708" s="67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66"/>
      <c r="C709" s="12"/>
      <c r="D709" s="12"/>
      <c r="E709" s="12"/>
      <c r="F709" s="12"/>
      <c r="G709" s="67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66"/>
      <c r="C710" s="12"/>
      <c r="D710" s="12"/>
      <c r="E710" s="12"/>
      <c r="F710" s="12"/>
      <c r="G710" s="67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66"/>
      <c r="C711" s="12"/>
      <c r="D711" s="12"/>
      <c r="E711" s="12"/>
      <c r="F711" s="12"/>
      <c r="G711" s="67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66"/>
      <c r="C712" s="12"/>
      <c r="D712" s="12"/>
      <c r="E712" s="12"/>
      <c r="F712" s="12"/>
      <c r="G712" s="67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66"/>
      <c r="C713" s="12"/>
      <c r="D713" s="12"/>
      <c r="E713" s="12"/>
      <c r="F713" s="12"/>
      <c r="G713" s="67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66"/>
      <c r="C714" s="12"/>
      <c r="D714" s="12"/>
      <c r="E714" s="12"/>
      <c r="F714" s="12"/>
      <c r="G714" s="67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66"/>
      <c r="C715" s="12"/>
      <c r="D715" s="12"/>
      <c r="E715" s="12"/>
      <c r="F715" s="12"/>
      <c r="G715" s="67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66"/>
      <c r="C716" s="12"/>
      <c r="D716" s="12"/>
      <c r="E716" s="12"/>
      <c r="F716" s="12"/>
      <c r="G716" s="67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66"/>
      <c r="C717" s="12"/>
      <c r="D717" s="12"/>
      <c r="E717" s="12"/>
      <c r="F717" s="12"/>
      <c r="G717" s="67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66"/>
      <c r="C718" s="12"/>
      <c r="D718" s="12"/>
      <c r="E718" s="12"/>
      <c r="F718" s="12"/>
      <c r="G718" s="67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66"/>
      <c r="C719" s="12"/>
      <c r="D719" s="12"/>
      <c r="E719" s="12"/>
      <c r="F719" s="12"/>
      <c r="G719" s="67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66"/>
      <c r="C720" s="12"/>
      <c r="D720" s="12"/>
      <c r="E720" s="12"/>
      <c r="F720" s="12"/>
      <c r="G720" s="67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66"/>
      <c r="C721" s="12"/>
      <c r="D721" s="12"/>
      <c r="E721" s="12"/>
      <c r="F721" s="12"/>
      <c r="G721" s="67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66"/>
      <c r="C722" s="12"/>
      <c r="D722" s="12"/>
      <c r="E722" s="12"/>
      <c r="F722" s="12"/>
      <c r="G722" s="67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66"/>
      <c r="C723" s="12"/>
      <c r="D723" s="12"/>
      <c r="E723" s="12"/>
      <c r="F723" s="12"/>
      <c r="G723" s="67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66"/>
      <c r="C724" s="12"/>
      <c r="D724" s="12"/>
      <c r="E724" s="12"/>
      <c r="F724" s="12"/>
      <c r="G724" s="67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66"/>
      <c r="C725" s="12"/>
      <c r="D725" s="12"/>
      <c r="E725" s="12"/>
      <c r="F725" s="12"/>
      <c r="G725" s="67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66"/>
      <c r="C726" s="12"/>
      <c r="D726" s="12"/>
      <c r="E726" s="12"/>
      <c r="F726" s="12"/>
      <c r="G726" s="67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66"/>
      <c r="C727" s="12"/>
      <c r="D727" s="12"/>
      <c r="E727" s="12"/>
      <c r="F727" s="12"/>
      <c r="G727" s="67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66"/>
      <c r="C728" s="12"/>
      <c r="D728" s="12"/>
      <c r="E728" s="12"/>
      <c r="F728" s="12"/>
      <c r="G728" s="67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66"/>
      <c r="C729" s="12"/>
      <c r="D729" s="12"/>
      <c r="E729" s="12"/>
      <c r="F729" s="12"/>
      <c r="G729" s="67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66"/>
      <c r="C730" s="12"/>
      <c r="D730" s="12"/>
      <c r="E730" s="12"/>
      <c r="F730" s="12"/>
      <c r="G730" s="67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66"/>
      <c r="C731" s="12"/>
      <c r="D731" s="12"/>
      <c r="E731" s="12"/>
      <c r="F731" s="12"/>
      <c r="G731" s="67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66"/>
      <c r="C732" s="12"/>
      <c r="D732" s="12"/>
      <c r="E732" s="12"/>
      <c r="F732" s="12"/>
      <c r="G732" s="67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66"/>
      <c r="C733" s="12"/>
      <c r="D733" s="12"/>
      <c r="E733" s="12"/>
      <c r="F733" s="12"/>
      <c r="G733" s="67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66"/>
      <c r="C734" s="12"/>
      <c r="D734" s="12"/>
      <c r="E734" s="12"/>
      <c r="F734" s="12"/>
      <c r="G734" s="67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66"/>
      <c r="C735" s="12"/>
      <c r="D735" s="12"/>
      <c r="E735" s="12"/>
      <c r="F735" s="12"/>
      <c r="G735" s="67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66"/>
      <c r="C736" s="12"/>
      <c r="D736" s="12"/>
      <c r="E736" s="12"/>
      <c r="F736" s="12"/>
      <c r="G736" s="67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66"/>
      <c r="C737" s="12"/>
      <c r="D737" s="12"/>
      <c r="E737" s="12"/>
      <c r="F737" s="12"/>
      <c r="G737" s="67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66"/>
      <c r="C738" s="12"/>
      <c r="D738" s="12"/>
      <c r="E738" s="12"/>
      <c r="F738" s="12"/>
      <c r="G738" s="67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66"/>
      <c r="C739" s="12"/>
      <c r="D739" s="12"/>
      <c r="E739" s="12"/>
      <c r="F739" s="12"/>
      <c r="G739" s="67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66"/>
      <c r="C740" s="12"/>
      <c r="D740" s="12"/>
      <c r="E740" s="12"/>
      <c r="F740" s="12"/>
      <c r="G740" s="67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66"/>
      <c r="C741" s="12"/>
      <c r="D741" s="12"/>
      <c r="E741" s="12"/>
      <c r="F741" s="12"/>
      <c r="G741" s="67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66"/>
      <c r="C742" s="12"/>
      <c r="D742" s="12"/>
      <c r="E742" s="12"/>
      <c r="F742" s="12"/>
      <c r="G742" s="67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66"/>
      <c r="C743" s="12"/>
      <c r="D743" s="12"/>
      <c r="E743" s="12"/>
      <c r="F743" s="12"/>
      <c r="G743" s="67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66"/>
      <c r="C744" s="12"/>
      <c r="D744" s="12"/>
      <c r="E744" s="12"/>
      <c r="F744" s="12"/>
      <c r="G744" s="67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66"/>
      <c r="C745" s="12"/>
      <c r="D745" s="12"/>
      <c r="E745" s="12"/>
      <c r="F745" s="12"/>
      <c r="G745" s="67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66"/>
      <c r="C746" s="12"/>
      <c r="D746" s="12"/>
      <c r="E746" s="12"/>
      <c r="F746" s="12"/>
      <c r="G746" s="67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66"/>
      <c r="C747" s="12"/>
      <c r="D747" s="12"/>
      <c r="E747" s="12"/>
      <c r="F747" s="12"/>
      <c r="G747" s="67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66"/>
      <c r="C748" s="12"/>
      <c r="D748" s="12"/>
      <c r="E748" s="12"/>
      <c r="F748" s="12"/>
      <c r="G748" s="67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66"/>
      <c r="C749" s="12"/>
      <c r="D749" s="12"/>
      <c r="E749" s="12"/>
      <c r="F749" s="12"/>
      <c r="G749" s="67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66"/>
      <c r="C750" s="12"/>
      <c r="D750" s="12"/>
      <c r="E750" s="12"/>
      <c r="F750" s="12"/>
      <c r="G750" s="67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66"/>
      <c r="C751" s="12"/>
      <c r="D751" s="12"/>
      <c r="E751" s="12"/>
      <c r="F751" s="12"/>
      <c r="G751" s="67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66"/>
      <c r="C752" s="12"/>
      <c r="D752" s="12"/>
      <c r="E752" s="12"/>
      <c r="F752" s="12"/>
      <c r="G752" s="67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66"/>
      <c r="C753" s="12"/>
      <c r="D753" s="12"/>
      <c r="E753" s="12"/>
      <c r="F753" s="12"/>
      <c r="G753" s="67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66"/>
      <c r="C754" s="12"/>
      <c r="D754" s="12"/>
      <c r="E754" s="12"/>
      <c r="F754" s="12"/>
      <c r="G754" s="67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66"/>
      <c r="C755" s="12"/>
      <c r="D755" s="12"/>
      <c r="E755" s="12"/>
      <c r="F755" s="12"/>
      <c r="G755" s="67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66"/>
      <c r="C756" s="12"/>
      <c r="D756" s="12"/>
      <c r="E756" s="12"/>
      <c r="F756" s="12"/>
      <c r="G756" s="67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66"/>
      <c r="C757" s="12"/>
      <c r="D757" s="12"/>
      <c r="E757" s="12"/>
      <c r="F757" s="12"/>
      <c r="G757" s="67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66"/>
      <c r="C758" s="12"/>
      <c r="D758" s="12"/>
      <c r="E758" s="12"/>
      <c r="F758" s="12"/>
      <c r="G758" s="67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66"/>
      <c r="C759" s="12"/>
      <c r="D759" s="12"/>
      <c r="E759" s="12"/>
      <c r="F759" s="12"/>
      <c r="G759" s="67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66"/>
      <c r="C760" s="12"/>
      <c r="D760" s="12"/>
      <c r="E760" s="12"/>
      <c r="F760" s="12"/>
      <c r="G760" s="67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66"/>
      <c r="C761" s="12"/>
      <c r="D761" s="12"/>
      <c r="E761" s="12"/>
      <c r="F761" s="12"/>
      <c r="G761" s="67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66"/>
      <c r="C762" s="12"/>
      <c r="D762" s="12"/>
      <c r="E762" s="12"/>
      <c r="F762" s="12"/>
      <c r="G762" s="67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66"/>
      <c r="C763" s="12"/>
      <c r="D763" s="12"/>
      <c r="E763" s="12"/>
      <c r="F763" s="12"/>
      <c r="G763" s="67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66"/>
      <c r="C764" s="12"/>
      <c r="D764" s="12"/>
      <c r="E764" s="12"/>
      <c r="F764" s="12"/>
      <c r="G764" s="67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66"/>
      <c r="C765" s="12"/>
      <c r="D765" s="12"/>
      <c r="E765" s="12"/>
      <c r="F765" s="12"/>
      <c r="G765" s="67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66"/>
      <c r="C766" s="12"/>
      <c r="D766" s="12"/>
      <c r="E766" s="12"/>
      <c r="F766" s="12"/>
      <c r="G766" s="67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66"/>
      <c r="C767" s="12"/>
      <c r="D767" s="12"/>
      <c r="E767" s="12"/>
      <c r="F767" s="12"/>
      <c r="G767" s="67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66"/>
      <c r="C768" s="12"/>
      <c r="D768" s="12"/>
      <c r="E768" s="12"/>
      <c r="F768" s="12"/>
      <c r="G768" s="67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66"/>
      <c r="C769" s="12"/>
      <c r="D769" s="12"/>
      <c r="E769" s="12"/>
      <c r="F769" s="12"/>
      <c r="G769" s="67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66"/>
      <c r="C770" s="12"/>
      <c r="D770" s="12"/>
      <c r="E770" s="12"/>
      <c r="F770" s="12"/>
      <c r="G770" s="67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66"/>
      <c r="C771" s="12"/>
      <c r="D771" s="12"/>
      <c r="E771" s="12"/>
      <c r="F771" s="12"/>
      <c r="G771" s="67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66"/>
      <c r="C772" s="12"/>
      <c r="D772" s="12"/>
      <c r="E772" s="12"/>
      <c r="F772" s="12"/>
      <c r="G772" s="67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66"/>
      <c r="C773" s="12"/>
      <c r="D773" s="12"/>
      <c r="E773" s="12"/>
      <c r="F773" s="12"/>
      <c r="G773" s="67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66"/>
      <c r="C774" s="12"/>
      <c r="D774" s="12"/>
      <c r="E774" s="12"/>
      <c r="F774" s="12"/>
      <c r="G774" s="67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66"/>
      <c r="C775" s="12"/>
      <c r="D775" s="12"/>
      <c r="E775" s="12"/>
      <c r="F775" s="12"/>
      <c r="G775" s="67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66"/>
      <c r="C776" s="12"/>
      <c r="D776" s="12"/>
      <c r="E776" s="12"/>
      <c r="F776" s="12"/>
      <c r="G776" s="67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66"/>
      <c r="C777" s="12"/>
      <c r="D777" s="12"/>
      <c r="E777" s="12"/>
      <c r="F777" s="12"/>
      <c r="G777" s="67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66"/>
      <c r="C778" s="12"/>
      <c r="D778" s="12"/>
      <c r="E778" s="12"/>
      <c r="F778" s="12"/>
      <c r="G778" s="67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66"/>
      <c r="C779" s="12"/>
      <c r="D779" s="12"/>
      <c r="E779" s="12"/>
      <c r="F779" s="12"/>
      <c r="G779" s="67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66"/>
      <c r="C780" s="12"/>
      <c r="D780" s="12"/>
      <c r="E780" s="12"/>
      <c r="F780" s="12"/>
      <c r="G780" s="67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66"/>
      <c r="C781" s="12"/>
      <c r="D781" s="12"/>
      <c r="E781" s="12"/>
      <c r="F781" s="12"/>
      <c r="G781" s="67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66"/>
      <c r="C782" s="12"/>
      <c r="D782" s="12"/>
      <c r="E782" s="12"/>
      <c r="F782" s="12"/>
      <c r="G782" s="67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66"/>
      <c r="C783" s="12"/>
      <c r="D783" s="12"/>
      <c r="E783" s="12"/>
      <c r="F783" s="12"/>
      <c r="G783" s="67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66"/>
      <c r="C784" s="12"/>
      <c r="D784" s="12"/>
      <c r="E784" s="12"/>
      <c r="F784" s="12"/>
      <c r="G784" s="67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66"/>
      <c r="C785" s="12"/>
      <c r="D785" s="12"/>
      <c r="E785" s="12"/>
      <c r="F785" s="12"/>
      <c r="G785" s="67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66"/>
      <c r="C786" s="12"/>
      <c r="D786" s="12"/>
      <c r="E786" s="12"/>
      <c r="F786" s="12"/>
      <c r="G786" s="67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66"/>
      <c r="C787" s="12"/>
      <c r="D787" s="12"/>
      <c r="E787" s="12"/>
      <c r="F787" s="12"/>
      <c r="G787" s="67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66"/>
      <c r="C788" s="12"/>
      <c r="D788" s="12"/>
      <c r="E788" s="12"/>
      <c r="F788" s="12"/>
      <c r="G788" s="67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66"/>
      <c r="C789" s="12"/>
      <c r="D789" s="12"/>
      <c r="E789" s="12"/>
      <c r="F789" s="12"/>
      <c r="G789" s="67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66"/>
      <c r="C790" s="12"/>
      <c r="D790" s="12"/>
      <c r="E790" s="12"/>
      <c r="F790" s="12"/>
      <c r="G790" s="67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66"/>
      <c r="C791" s="12"/>
      <c r="D791" s="12"/>
      <c r="E791" s="12"/>
      <c r="F791" s="12"/>
      <c r="G791" s="67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66"/>
      <c r="C792" s="12"/>
      <c r="D792" s="12"/>
      <c r="E792" s="12"/>
      <c r="F792" s="12"/>
      <c r="G792" s="67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66"/>
      <c r="C793" s="12"/>
      <c r="D793" s="12"/>
      <c r="E793" s="12"/>
      <c r="F793" s="12"/>
      <c r="G793" s="67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66"/>
      <c r="C794" s="12"/>
      <c r="D794" s="12"/>
      <c r="E794" s="12"/>
      <c r="F794" s="12"/>
      <c r="G794" s="67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66"/>
      <c r="C795" s="12"/>
      <c r="D795" s="12"/>
      <c r="E795" s="12"/>
      <c r="F795" s="12"/>
      <c r="G795" s="67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66"/>
      <c r="C796" s="12"/>
      <c r="D796" s="12"/>
      <c r="E796" s="12"/>
      <c r="F796" s="12"/>
      <c r="G796" s="67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66"/>
      <c r="C797" s="12"/>
      <c r="D797" s="12"/>
      <c r="E797" s="12"/>
      <c r="F797" s="12"/>
      <c r="G797" s="67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66"/>
      <c r="C798" s="12"/>
      <c r="D798" s="12"/>
      <c r="E798" s="12"/>
      <c r="F798" s="12"/>
      <c r="G798" s="67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66"/>
      <c r="C799" s="12"/>
      <c r="D799" s="12"/>
      <c r="E799" s="12"/>
      <c r="F799" s="12"/>
      <c r="G799" s="67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66"/>
      <c r="C800" s="12"/>
      <c r="D800" s="12"/>
      <c r="E800" s="12"/>
      <c r="F800" s="12"/>
      <c r="G800" s="67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66"/>
      <c r="C801" s="12"/>
      <c r="D801" s="12"/>
      <c r="E801" s="12"/>
      <c r="F801" s="12"/>
      <c r="G801" s="67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66"/>
      <c r="C802" s="12"/>
      <c r="D802" s="12"/>
      <c r="E802" s="12"/>
      <c r="F802" s="12"/>
      <c r="G802" s="67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66"/>
      <c r="C803" s="12"/>
      <c r="D803" s="12"/>
      <c r="E803" s="12"/>
      <c r="F803" s="12"/>
      <c r="G803" s="67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66"/>
      <c r="C804" s="12"/>
      <c r="D804" s="12"/>
      <c r="E804" s="12"/>
      <c r="F804" s="12"/>
      <c r="G804" s="67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66"/>
      <c r="C805" s="12"/>
      <c r="D805" s="12"/>
      <c r="E805" s="12"/>
      <c r="F805" s="12"/>
      <c r="G805" s="67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66"/>
      <c r="C806" s="12"/>
      <c r="D806" s="12"/>
      <c r="E806" s="12"/>
      <c r="F806" s="12"/>
      <c r="G806" s="67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66"/>
      <c r="C807" s="12"/>
      <c r="D807" s="12"/>
      <c r="E807" s="12"/>
      <c r="F807" s="12"/>
      <c r="G807" s="67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66"/>
      <c r="C808" s="12"/>
      <c r="D808" s="12"/>
      <c r="E808" s="12"/>
      <c r="F808" s="12"/>
      <c r="G808" s="67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66"/>
      <c r="C809" s="12"/>
      <c r="D809" s="12"/>
      <c r="E809" s="12"/>
      <c r="F809" s="12"/>
      <c r="G809" s="67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66"/>
      <c r="C810" s="12"/>
      <c r="D810" s="12"/>
      <c r="E810" s="12"/>
      <c r="F810" s="12"/>
      <c r="G810" s="67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66"/>
      <c r="C811" s="12"/>
      <c r="D811" s="12"/>
      <c r="E811" s="12"/>
      <c r="F811" s="12"/>
      <c r="G811" s="67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66"/>
      <c r="C812" s="12"/>
      <c r="D812" s="12"/>
      <c r="E812" s="12"/>
      <c r="F812" s="12"/>
      <c r="G812" s="67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66"/>
      <c r="C813" s="12"/>
      <c r="D813" s="12"/>
      <c r="E813" s="12"/>
      <c r="F813" s="12"/>
      <c r="G813" s="67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66"/>
      <c r="C814" s="12"/>
      <c r="D814" s="12"/>
      <c r="E814" s="12"/>
      <c r="F814" s="12"/>
      <c r="G814" s="67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66"/>
      <c r="C815" s="12"/>
      <c r="D815" s="12"/>
      <c r="E815" s="12"/>
      <c r="F815" s="12"/>
      <c r="G815" s="67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66"/>
      <c r="C816" s="12"/>
      <c r="D816" s="12"/>
      <c r="E816" s="12"/>
      <c r="F816" s="12"/>
      <c r="G816" s="67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66"/>
      <c r="C817" s="12"/>
      <c r="D817" s="12"/>
      <c r="E817" s="12"/>
      <c r="F817" s="12"/>
      <c r="G817" s="67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66"/>
      <c r="C818" s="12"/>
      <c r="D818" s="12"/>
      <c r="E818" s="12"/>
      <c r="F818" s="12"/>
      <c r="G818" s="67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66"/>
      <c r="C819" s="12"/>
      <c r="D819" s="12"/>
      <c r="E819" s="12"/>
      <c r="F819" s="12"/>
      <c r="G819" s="67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66"/>
      <c r="C820" s="12"/>
      <c r="D820" s="12"/>
      <c r="E820" s="12"/>
      <c r="F820" s="12"/>
      <c r="G820" s="67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66"/>
      <c r="C821" s="12"/>
      <c r="D821" s="12"/>
      <c r="E821" s="12"/>
      <c r="F821" s="12"/>
      <c r="G821" s="67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66"/>
      <c r="C822" s="12"/>
      <c r="D822" s="12"/>
      <c r="E822" s="12"/>
      <c r="F822" s="12"/>
      <c r="G822" s="67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66"/>
      <c r="C823" s="12"/>
      <c r="D823" s="12"/>
      <c r="E823" s="12"/>
      <c r="F823" s="12"/>
      <c r="G823" s="67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66"/>
      <c r="C824" s="12"/>
      <c r="D824" s="12"/>
      <c r="E824" s="12"/>
      <c r="F824" s="12"/>
      <c r="G824" s="67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66"/>
      <c r="C825" s="12"/>
      <c r="D825" s="12"/>
      <c r="E825" s="12"/>
      <c r="F825" s="12"/>
      <c r="G825" s="67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66"/>
      <c r="C826" s="12"/>
      <c r="D826" s="12"/>
      <c r="E826" s="12"/>
      <c r="F826" s="12"/>
      <c r="G826" s="67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66"/>
      <c r="C827" s="12"/>
      <c r="D827" s="12"/>
      <c r="E827" s="12"/>
      <c r="F827" s="12"/>
      <c r="G827" s="67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66"/>
      <c r="C828" s="12"/>
      <c r="D828" s="12"/>
      <c r="E828" s="12"/>
      <c r="F828" s="12"/>
      <c r="G828" s="67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66"/>
      <c r="C829" s="12"/>
      <c r="D829" s="12"/>
      <c r="E829" s="12"/>
      <c r="F829" s="12"/>
      <c r="G829" s="67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66"/>
      <c r="C830" s="12"/>
      <c r="D830" s="12"/>
      <c r="E830" s="12"/>
      <c r="F830" s="12"/>
      <c r="G830" s="67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66"/>
      <c r="C831" s="12"/>
      <c r="D831" s="12"/>
      <c r="E831" s="12"/>
      <c r="F831" s="12"/>
      <c r="G831" s="67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66"/>
      <c r="C832" s="12"/>
      <c r="D832" s="12"/>
      <c r="E832" s="12"/>
      <c r="F832" s="12"/>
      <c r="G832" s="67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66"/>
      <c r="C833" s="12"/>
      <c r="D833" s="12"/>
      <c r="E833" s="12"/>
      <c r="F833" s="12"/>
      <c r="G833" s="67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66"/>
      <c r="C834" s="12"/>
      <c r="D834" s="12"/>
      <c r="E834" s="12"/>
      <c r="F834" s="12"/>
      <c r="G834" s="67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66"/>
      <c r="C835" s="12"/>
      <c r="D835" s="12"/>
      <c r="E835" s="12"/>
      <c r="F835" s="12"/>
      <c r="G835" s="67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66"/>
      <c r="C836" s="12"/>
      <c r="D836" s="12"/>
      <c r="E836" s="12"/>
      <c r="F836" s="12"/>
      <c r="G836" s="67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66"/>
      <c r="C837" s="12"/>
      <c r="D837" s="12"/>
      <c r="E837" s="12"/>
      <c r="F837" s="12"/>
      <c r="G837" s="67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66"/>
      <c r="C838" s="12"/>
      <c r="D838" s="12"/>
      <c r="E838" s="12"/>
      <c r="F838" s="12"/>
      <c r="G838" s="67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66"/>
      <c r="C839" s="12"/>
      <c r="D839" s="12"/>
      <c r="E839" s="12"/>
      <c r="F839" s="12"/>
      <c r="G839" s="67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66"/>
      <c r="C840" s="12"/>
      <c r="D840" s="12"/>
      <c r="E840" s="12"/>
      <c r="F840" s="12"/>
      <c r="G840" s="67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66"/>
      <c r="C841" s="12"/>
      <c r="D841" s="12"/>
      <c r="E841" s="12"/>
      <c r="F841" s="12"/>
      <c r="G841" s="67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66"/>
      <c r="C842" s="12"/>
      <c r="D842" s="12"/>
      <c r="E842" s="12"/>
      <c r="F842" s="12"/>
      <c r="G842" s="67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66"/>
      <c r="C843" s="12"/>
      <c r="D843" s="12"/>
      <c r="E843" s="12"/>
      <c r="F843" s="12"/>
      <c r="G843" s="67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66"/>
      <c r="C844" s="12"/>
      <c r="D844" s="12"/>
      <c r="E844" s="12"/>
      <c r="F844" s="12"/>
      <c r="G844" s="67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66"/>
      <c r="C845" s="12"/>
      <c r="D845" s="12"/>
      <c r="E845" s="12"/>
      <c r="F845" s="12"/>
      <c r="G845" s="67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66"/>
      <c r="C846" s="12"/>
      <c r="D846" s="12"/>
      <c r="E846" s="12"/>
      <c r="F846" s="12"/>
      <c r="G846" s="67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66"/>
      <c r="C847" s="12"/>
      <c r="D847" s="12"/>
      <c r="E847" s="12"/>
      <c r="F847" s="12"/>
      <c r="G847" s="67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66"/>
      <c r="C848" s="12"/>
      <c r="D848" s="12"/>
      <c r="E848" s="12"/>
      <c r="F848" s="12"/>
      <c r="G848" s="67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66"/>
      <c r="C849" s="12"/>
      <c r="D849" s="12"/>
      <c r="E849" s="12"/>
      <c r="F849" s="12"/>
      <c r="G849" s="67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66"/>
      <c r="C850" s="12"/>
      <c r="D850" s="12"/>
      <c r="E850" s="12"/>
      <c r="F850" s="12"/>
      <c r="G850" s="67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66"/>
      <c r="C851" s="12"/>
      <c r="D851" s="12"/>
      <c r="E851" s="12"/>
      <c r="F851" s="12"/>
      <c r="G851" s="67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66"/>
      <c r="C852" s="12"/>
      <c r="D852" s="12"/>
      <c r="E852" s="12"/>
      <c r="F852" s="12"/>
      <c r="G852" s="67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66"/>
      <c r="C853" s="12"/>
      <c r="D853" s="12"/>
      <c r="E853" s="12"/>
      <c r="F853" s="12"/>
      <c r="G853" s="67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66"/>
      <c r="C854" s="12"/>
      <c r="D854" s="12"/>
      <c r="E854" s="12"/>
      <c r="F854" s="12"/>
      <c r="G854" s="67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66"/>
      <c r="C855" s="12"/>
      <c r="D855" s="12"/>
      <c r="E855" s="12"/>
      <c r="F855" s="12"/>
      <c r="G855" s="67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66"/>
      <c r="C856" s="12"/>
      <c r="D856" s="12"/>
      <c r="E856" s="12"/>
      <c r="F856" s="12"/>
      <c r="G856" s="67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66"/>
      <c r="C857" s="12"/>
      <c r="D857" s="12"/>
      <c r="E857" s="12"/>
      <c r="F857" s="12"/>
      <c r="G857" s="67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66"/>
      <c r="C858" s="12"/>
      <c r="D858" s="12"/>
      <c r="E858" s="12"/>
      <c r="F858" s="12"/>
      <c r="G858" s="67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66"/>
      <c r="C859" s="12"/>
      <c r="D859" s="12"/>
      <c r="E859" s="12"/>
      <c r="F859" s="12"/>
      <c r="G859" s="67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66"/>
      <c r="C860" s="12"/>
      <c r="D860" s="12"/>
      <c r="E860" s="12"/>
      <c r="F860" s="12"/>
      <c r="G860" s="67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66"/>
      <c r="C861" s="12"/>
      <c r="D861" s="12"/>
      <c r="E861" s="12"/>
      <c r="F861" s="12"/>
      <c r="G861" s="67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66"/>
      <c r="C862" s="12"/>
      <c r="D862" s="12"/>
      <c r="E862" s="12"/>
      <c r="F862" s="12"/>
      <c r="G862" s="67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66"/>
      <c r="C863" s="12"/>
      <c r="D863" s="12"/>
      <c r="E863" s="12"/>
      <c r="F863" s="12"/>
      <c r="G863" s="67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66"/>
      <c r="C864" s="12"/>
      <c r="D864" s="12"/>
      <c r="E864" s="12"/>
      <c r="F864" s="12"/>
      <c r="G864" s="67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66"/>
      <c r="C865" s="12"/>
      <c r="D865" s="12"/>
      <c r="E865" s="12"/>
      <c r="F865" s="12"/>
      <c r="G865" s="67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66"/>
      <c r="C866" s="12"/>
      <c r="D866" s="12"/>
      <c r="E866" s="12"/>
      <c r="F866" s="12"/>
      <c r="G866" s="67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66"/>
      <c r="C867" s="12"/>
      <c r="D867" s="12"/>
      <c r="E867" s="12"/>
      <c r="F867" s="12"/>
      <c r="G867" s="67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66"/>
      <c r="C868" s="12"/>
      <c r="D868" s="12"/>
      <c r="E868" s="12"/>
      <c r="F868" s="12"/>
      <c r="G868" s="67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66"/>
      <c r="C869" s="12"/>
      <c r="D869" s="12"/>
      <c r="E869" s="12"/>
      <c r="F869" s="12"/>
      <c r="G869" s="67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66"/>
      <c r="C870" s="12"/>
      <c r="D870" s="12"/>
      <c r="E870" s="12"/>
      <c r="F870" s="12"/>
      <c r="G870" s="67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66"/>
      <c r="C871" s="12"/>
      <c r="D871" s="12"/>
      <c r="E871" s="12"/>
      <c r="F871" s="12"/>
      <c r="G871" s="67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66"/>
      <c r="C872" s="12"/>
      <c r="D872" s="12"/>
      <c r="E872" s="12"/>
      <c r="F872" s="12"/>
      <c r="G872" s="67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66"/>
      <c r="C873" s="12"/>
      <c r="D873" s="12"/>
      <c r="E873" s="12"/>
      <c r="F873" s="12"/>
      <c r="G873" s="67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66"/>
      <c r="C874" s="12"/>
      <c r="D874" s="12"/>
      <c r="E874" s="12"/>
      <c r="F874" s="12"/>
      <c r="G874" s="67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66"/>
      <c r="C875" s="12"/>
      <c r="D875" s="12"/>
      <c r="E875" s="12"/>
      <c r="F875" s="12"/>
      <c r="G875" s="67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66"/>
      <c r="C876" s="12"/>
      <c r="D876" s="12"/>
      <c r="E876" s="12"/>
      <c r="F876" s="12"/>
      <c r="G876" s="67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66"/>
      <c r="C877" s="12"/>
      <c r="D877" s="12"/>
      <c r="E877" s="12"/>
      <c r="F877" s="12"/>
      <c r="G877" s="67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66"/>
      <c r="C878" s="12"/>
      <c r="D878" s="12"/>
      <c r="E878" s="12"/>
      <c r="F878" s="12"/>
      <c r="G878" s="67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66"/>
      <c r="C879" s="12"/>
      <c r="D879" s="12"/>
      <c r="E879" s="12"/>
      <c r="F879" s="12"/>
      <c r="G879" s="67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66"/>
      <c r="C880" s="12"/>
      <c r="D880" s="12"/>
      <c r="E880" s="12"/>
      <c r="F880" s="12"/>
      <c r="G880" s="67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66"/>
      <c r="C881" s="12"/>
      <c r="D881" s="12"/>
      <c r="E881" s="12"/>
      <c r="F881" s="12"/>
      <c r="G881" s="67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66"/>
      <c r="C882" s="12"/>
      <c r="D882" s="12"/>
      <c r="E882" s="12"/>
      <c r="F882" s="12"/>
      <c r="G882" s="67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66"/>
      <c r="C883" s="12"/>
      <c r="D883" s="12"/>
      <c r="E883" s="12"/>
      <c r="F883" s="12"/>
      <c r="G883" s="67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66"/>
      <c r="C884" s="12"/>
      <c r="D884" s="12"/>
      <c r="E884" s="12"/>
      <c r="F884" s="12"/>
      <c r="G884" s="67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66"/>
      <c r="C885" s="12"/>
      <c r="D885" s="12"/>
      <c r="E885" s="12"/>
      <c r="F885" s="12"/>
      <c r="G885" s="67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66"/>
      <c r="C886" s="12"/>
      <c r="D886" s="12"/>
      <c r="E886" s="12"/>
      <c r="F886" s="12"/>
      <c r="G886" s="67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66"/>
      <c r="C887" s="12"/>
      <c r="D887" s="12"/>
      <c r="E887" s="12"/>
      <c r="F887" s="12"/>
      <c r="G887" s="67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66"/>
      <c r="C888" s="12"/>
      <c r="D888" s="12"/>
      <c r="E888" s="12"/>
      <c r="F888" s="12"/>
      <c r="G888" s="67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66"/>
      <c r="C889" s="12"/>
      <c r="D889" s="12"/>
      <c r="E889" s="12"/>
      <c r="F889" s="12"/>
      <c r="G889" s="67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66"/>
      <c r="C890" s="12"/>
      <c r="D890" s="12"/>
      <c r="E890" s="12"/>
      <c r="F890" s="12"/>
      <c r="G890" s="67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66"/>
      <c r="C891" s="12"/>
      <c r="D891" s="12"/>
      <c r="E891" s="12"/>
      <c r="F891" s="12"/>
      <c r="G891" s="67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66"/>
      <c r="C892" s="12"/>
      <c r="D892" s="12"/>
      <c r="E892" s="12"/>
      <c r="F892" s="12"/>
      <c r="G892" s="67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66"/>
      <c r="C893" s="12"/>
      <c r="D893" s="12"/>
      <c r="E893" s="12"/>
      <c r="F893" s="12"/>
      <c r="G893" s="67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66"/>
      <c r="C894" s="12"/>
      <c r="D894" s="12"/>
      <c r="E894" s="12"/>
      <c r="F894" s="12"/>
      <c r="G894" s="67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66"/>
      <c r="C895" s="12"/>
      <c r="D895" s="12"/>
      <c r="E895" s="12"/>
      <c r="F895" s="12"/>
      <c r="G895" s="67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66"/>
      <c r="C896" s="12"/>
      <c r="D896" s="12"/>
      <c r="E896" s="12"/>
      <c r="F896" s="12"/>
      <c r="G896" s="67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66"/>
      <c r="C897" s="12"/>
      <c r="D897" s="12"/>
      <c r="E897" s="12"/>
      <c r="F897" s="12"/>
      <c r="G897" s="67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66"/>
      <c r="C898" s="12"/>
      <c r="D898" s="12"/>
      <c r="E898" s="12"/>
      <c r="F898" s="12"/>
      <c r="G898" s="67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66"/>
      <c r="C899" s="12"/>
      <c r="D899" s="12"/>
      <c r="E899" s="12"/>
      <c r="F899" s="12"/>
      <c r="G899" s="67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66"/>
      <c r="C900" s="12"/>
      <c r="D900" s="12"/>
      <c r="E900" s="12"/>
      <c r="F900" s="12"/>
      <c r="G900" s="67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66"/>
      <c r="C901" s="12"/>
      <c r="D901" s="12"/>
      <c r="E901" s="12"/>
      <c r="F901" s="12"/>
      <c r="G901" s="67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66"/>
      <c r="C902" s="12"/>
      <c r="D902" s="12"/>
      <c r="E902" s="12"/>
      <c r="F902" s="12"/>
      <c r="G902" s="67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66"/>
      <c r="C903" s="12"/>
      <c r="D903" s="12"/>
      <c r="E903" s="12"/>
      <c r="F903" s="12"/>
      <c r="G903" s="67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66"/>
      <c r="C904" s="12"/>
      <c r="D904" s="12"/>
      <c r="E904" s="12"/>
      <c r="F904" s="12"/>
      <c r="G904" s="67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66"/>
      <c r="C905" s="12"/>
      <c r="D905" s="12"/>
      <c r="E905" s="12"/>
      <c r="F905" s="12"/>
      <c r="G905" s="67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66"/>
      <c r="C906" s="12"/>
      <c r="D906" s="12"/>
      <c r="E906" s="12"/>
      <c r="F906" s="12"/>
      <c r="G906" s="67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66"/>
      <c r="C907" s="12"/>
      <c r="D907" s="12"/>
      <c r="E907" s="12"/>
      <c r="F907" s="12"/>
      <c r="G907" s="67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66"/>
      <c r="C908" s="12"/>
      <c r="D908" s="12"/>
      <c r="E908" s="12"/>
      <c r="F908" s="12"/>
      <c r="G908" s="67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66"/>
      <c r="C909" s="12"/>
      <c r="D909" s="12"/>
      <c r="E909" s="12"/>
      <c r="F909" s="12"/>
      <c r="G909" s="67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66"/>
      <c r="C910" s="12"/>
      <c r="D910" s="12"/>
      <c r="E910" s="12"/>
      <c r="F910" s="12"/>
      <c r="G910" s="67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66"/>
      <c r="C911" s="12"/>
      <c r="D911" s="12"/>
      <c r="E911" s="12"/>
      <c r="F911" s="12"/>
      <c r="G911" s="67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66"/>
      <c r="C912" s="12"/>
      <c r="D912" s="12"/>
      <c r="E912" s="12"/>
      <c r="F912" s="12"/>
      <c r="G912" s="67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66"/>
      <c r="C913" s="12"/>
      <c r="D913" s="12"/>
      <c r="E913" s="12"/>
      <c r="F913" s="12"/>
      <c r="G913" s="67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66"/>
      <c r="C914" s="12"/>
      <c r="D914" s="12"/>
      <c r="E914" s="12"/>
      <c r="F914" s="12"/>
      <c r="G914" s="67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66"/>
      <c r="C915" s="12"/>
      <c r="D915" s="12"/>
      <c r="E915" s="12"/>
      <c r="F915" s="12"/>
      <c r="G915" s="67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66"/>
      <c r="C916" s="12"/>
      <c r="D916" s="12"/>
      <c r="E916" s="12"/>
      <c r="F916" s="12"/>
      <c r="G916" s="67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66"/>
      <c r="C917" s="12"/>
      <c r="D917" s="12"/>
      <c r="E917" s="12"/>
      <c r="F917" s="12"/>
      <c r="G917" s="67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66"/>
      <c r="C918" s="12"/>
      <c r="D918" s="12"/>
      <c r="E918" s="12"/>
      <c r="F918" s="12"/>
      <c r="G918" s="67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66"/>
      <c r="C919" s="12"/>
      <c r="D919" s="12"/>
      <c r="E919" s="12"/>
      <c r="F919" s="12"/>
      <c r="G919" s="67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66"/>
      <c r="C920" s="12"/>
      <c r="D920" s="12"/>
      <c r="E920" s="12"/>
      <c r="F920" s="12"/>
      <c r="G920" s="67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66"/>
      <c r="C921" s="12"/>
      <c r="D921" s="12"/>
      <c r="E921" s="12"/>
      <c r="F921" s="12"/>
      <c r="G921" s="67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66"/>
      <c r="C922" s="12"/>
      <c r="D922" s="12"/>
      <c r="E922" s="12"/>
      <c r="F922" s="12"/>
      <c r="G922" s="67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66"/>
      <c r="C923" s="12"/>
      <c r="D923" s="12"/>
      <c r="E923" s="12"/>
      <c r="F923" s="12"/>
      <c r="G923" s="67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66"/>
      <c r="C924" s="12"/>
      <c r="D924" s="12"/>
      <c r="E924" s="12"/>
      <c r="F924" s="12"/>
      <c r="G924" s="67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66"/>
      <c r="C925" s="12"/>
      <c r="D925" s="12"/>
      <c r="E925" s="12"/>
      <c r="F925" s="12"/>
      <c r="G925" s="67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66"/>
      <c r="C926" s="12"/>
      <c r="D926" s="12"/>
      <c r="E926" s="12"/>
      <c r="F926" s="12"/>
      <c r="G926" s="67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66"/>
      <c r="C927" s="12"/>
      <c r="D927" s="12"/>
      <c r="E927" s="12"/>
      <c r="F927" s="12"/>
      <c r="G927" s="67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66"/>
      <c r="C928" s="12"/>
      <c r="D928" s="12"/>
      <c r="E928" s="12"/>
      <c r="F928" s="12"/>
      <c r="G928" s="67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66"/>
      <c r="C929" s="12"/>
      <c r="D929" s="12"/>
      <c r="E929" s="12"/>
      <c r="F929" s="12"/>
      <c r="G929" s="67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66"/>
      <c r="C930" s="12"/>
      <c r="D930" s="12"/>
      <c r="E930" s="12"/>
      <c r="F930" s="12"/>
      <c r="G930" s="67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66"/>
      <c r="C931" s="12"/>
      <c r="D931" s="12"/>
      <c r="E931" s="12"/>
      <c r="F931" s="12"/>
      <c r="G931" s="67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66"/>
      <c r="C932" s="12"/>
      <c r="D932" s="12"/>
      <c r="E932" s="12"/>
      <c r="F932" s="12"/>
      <c r="G932" s="67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66"/>
      <c r="C933" s="12"/>
      <c r="D933" s="12"/>
      <c r="E933" s="12"/>
      <c r="F933" s="12"/>
      <c r="G933" s="67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66"/>
      <c r="C934" s="12"/>
      <c r="D934" s="12"/>
      <c r="E934" s="12"/>
      <c r="F934" s="12"/>
      <c r="G934" s="67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66"/>
      <c r="C935" s="12"/>
      <c r="D935" s="12"/>
      <c r="E935" s="12"/>
      <c r="F935" s="12"/>
      <c r="G935" s="67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66"/>
      <c r="C936" s="12"/>
      <c r="D936" s="12"/>
      <c r="E936" s="12"/>
      <c r="F936" s="12"/>
      <c r="G936" s="67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66"/>
      <c r="C937" s="12"/>
      <c r="D937" s="12"/>
      <c r="E937" s="12"/>
      <c r="F937" s="12"/>
      <c r="G937" s="67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66"/>
      <c r="C938" s="12"/>
      <c r="D938" s="12"/>
      <c r="E938" s="12"/>
      <c r="F938" s="12"/>
      <c r="G938" s="67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66"/>
      <c r="C939" s="12"/>
      <c r="D939" s="12"/>
      <c r="E939" s="12"/>
      <c r="F939" s="12"/>
      <c r="G939" s="67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66"/>
      <c r="C940" s="12"/>
      <c r="D940" s="12"/>
      <c r="E940" s="12"/>
      <c r="F940" s="12"/>
      <c r="G940" s="67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66"/>
      <c r="C941" s="12"/>
      <c r="D941" s="12"/>
      <c r="E941" s="12"/>
      <c r="F941" s="12"/>
      <c r="G941" s="67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66"/>
      <c r="C942" s="12"/>
      <c r="D942" s="12"/>
      <c r="E942" s="12"/>
      <c r="F942" s="12"/>
      <c r="G942" s="67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66"/>
      <c r="C943" s="12"/>
      <c r="D943" s="12"/>
      <c r="E943" s="12"/>
      <c r="F943" s="12"/>
      <c r="G943" s="67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66"/>
      <c r="C944" s="12"/>
      <c r="D944" s="12"/>
      <c r="E944" s="12"/>
      <c r="F944" s="12"/>
      <c r="G944" s="67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66"/>
      <c r="C945" s="12"/>
      <c r="D945" s="12"/>
      <c r="E945" s="12"/>
      <c r="F945" s="12"/>
      <c r="G945" s="67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66"/>
      <c r="C946" s="12"/>
      <c r="D946" s="12"/>
      <c r="E946" s="12"/>
      <c r="F946" s="12"/>
      <c r="G946" s="67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66"/>
      <c r="C947" s="12"/>
      <c r="D947" s="12"/>
      <c r="E947" s="12"/>
      <c r="F947" s="12"/>
      <c r="G947" s="67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66"/>
      <c r="C948" s="12"/>
      <c r="D948" s="12"/>
      <c r="E948" s="12"/>
      <c r="F948" s="12"/>
      <c r="G948" s="67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66"/>
      <c r="C949" s="12"/>
      <c r="D949" s="12"/>
      <c r="E949" s="12"/>
      <c r="F949" s="12"/>
      <c r="G949" s="67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66"/>
      <c r="C950" s="12"/>
      <c r="D950" s="12"/>
      <c r="E950" s="12"/>
      <c r="F950" s="12"/>
      <c r="G950" s="67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66"/>
      <c r="C951" s="12"/>
      <c r="D951" s="12"/>
      <c r="E951" s="12"/>
      <c r="F951" s="12"/>
      <c r="G951" s="67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66"/>
      <c r="C952" s="12"/>
      <c r="D952" s="12"/>
      <c r="E952" s="12"/>
      <c r="F952" s="12"/>
      <c r="G952" s="67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66"/>
      <c r="C953" s="12"/>
      <c r="D953" s="12"/>
      <c r="E953" s="12"/>
      <c r="F953" s="12"/>
      <c r="G953" s="67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66"/>
      <c r="C954" s="12"/>
      <c r="D954" s="12"/>
      <c r="E954" s="12"/>
      <c r="F954" s="12"/>
      <c r="G954" s="67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66"/>
      <c r="C955" s="12"/>
      <c r="D955" s="12"/>
      <c r="E955" s="12"/>
      <c r="F955" s="12"/>
      <c r="G955" s="67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66"/>
      <c r="C956" s="12"/>
      <c r="D956" s="12"/>
      <c r="E956" s="12"/>
      <c r="F956" s="12"/>
      <c r="G956" s="67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66"/>
      <c r="C957" s="12"/>
      <c r="D957" s="12"/>
      <c r="E957" s="12"/>
      <c r="F957" s="12"/>
      <c r="G957" s="67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66"/>
      <c r="C958" s="12"/>
      <c r="D958" s="12"/>
      <c r="E958" s="12"/>
      <c r="F958" s="12"/>
      <c r="G958" s="67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66"/>
      <c r="C959" s="12"/>
      <c r="D959" s="12"/>
      <c r="E959" s="12"/>
      <c r="F959" s="12"/>
      <c r="G959" s="67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66"/>
      <c r="C960" s="12"/>
      <c r="D960" s="12"/>
      <c r="E960" s="12"/>
      <c r="F960" s="12"/>
      <c r="G960" s="67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66"/>
      <c r="C961" s="12"/>
      <c r="D961" s="12"/>
      <c r="E961" s="12"/>
      <c r="F961" s="12"/>
      <c r="G961" s="67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66"/>
      <c r="C962" s="12"/>
      <c r="D962" s="12"/>
      <c r="E962" s="12"/>
      <c r="F962" s="12"/>
      <c r="G962" s="67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66"/>
      <c r="C963" s="12"/>
      <c r="D963" s="12"/>
      <c r="E963" s="12"/>
      <c r="F963" s="12"/>
      <c r="G963" s="67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66"/>
      <c r="C964" s="12"/>
      <c r="D964" s="12"/>
      <c r="E964" s="12"/>
      <c r="F964" s="12"/>
      <c r="G964" s="67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66"/>
      <c r="C965" s="12"/>
      <c r="D965" s="12"/>
      <c r="E965" s="12"/>
      <c r="F965" s="12"/>
      <c r="G965" s="67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66"/>
      <c r="C966" s="12"/>
      <c r="D966" s="12"/>
      <c r="E966" s="12"/>
      <c r="F966" s="12"/>
      <c r="G966" s="67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66"/>
      <c r="C967" s="12"/>
      <c r="D967" s="12"/>
      <c r="E967" s="12"/>
      <c r="F967" s="12"/>
      <c r="G967" s="67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66"/>
      <c r="C968" s="12"/>
      <c r="D968" s="12"/>
      <c r="E968" s="12"/>
      <c r="F968" s="12"/>
      <c r="G968" s="67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66"/>
      <c r="C969" s="12"/>
      <c r="D969" s="12"/>
      <c r="E969" s="12"/>
      <c r="F969" s="12"/>
      <c r="G969" s="67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</sheetData>
  <mergeCells count="55"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A10:B10"/>
    <mergeCell ref="F10:G10"/>
    <mergeCell ref="H10:I10"/>
    <mergeCell ref="C10:E10"/>
    <mergeCell ref="D11:E11"/>
    <mergeCell ref="F11:G11"/>
    <mergeCell ref="H11:I11"/>
    <mergeCell ref="D8:E8"/>
    <mergeCell ref="F8:G8"/>
    <mergeCell ref="H8:I8"/>
    <mergeCell ref="A9:B9"/>
    <mergeCell ref="C9:E9"/>
    <mergeCell ref="F9:G9"/>
    <mergeCell ref="H9:I9"/>
    <mergeCell ref="F5:G5"/>
    <mergeCell ref="H5:I5"/>
    <mergeCell ref="A6:B6"/>
    <mergeCell ref="C6:E6"/>
    <mergeCell ref="A7:B7"/>
    <mergeCell ref="C7:E7"/>
    <mergeCell ref="F7:G7"/>
    <mergeCell ref="H7:I7"/>
    <mergeCell ref="G27:I27"/>
    <mergeCell ref="A32:B32"/>
    <mergeCell ref="G32:I32"/>
    <mergeCell ref="A1:I1"/>
    <mergeCell ref="H2:I2"/>
    <mergeCell ref="A3:B3"/>
    <mergeCell ref="C3:E3"/>
    <mergeCell ref="F3:G3"/>
    <mergeCell ref="H3:I3"/>
    <mergeCell ref="A4:B4"/>
    <mergeCell ref="H4:I4"/>
    <mergeCell ref="F6:G6"/>
    <mergeCell ref="H6:I6"/>
    <mergeCell ref="C4:E4"/>
    <mergeCell ref="F4:G4"/>
    <mergeCell ref="D5:E5"/>
    <mergeCell ref="C32:D32"/>
    <mergeCell ref="E32:F32"/>
    <mergeCell ref="D23:E23"/>
    <mergeCell ref="A24:F24"/>
    <mergeCell ref="A27:B27"/>
    <mergeCell ref="C27:D27"/>
    <mergeCell ref="E27:F27"/>
  </mergeCells>
  <printOptions horizontalCentered="1" gridLines="1"/>
  <pageMargins left="0.25" right="0.25" top="0.75" bottom="0.75" header="0.3" footer="0.3"/>
  <pageSetup paperSize="9" scale="82" fitToHeight="0" pageOrder="overThenDown" orientation="portrait" cellComments="atEn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117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45961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117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119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120</v>
      </c>
      <c r="D7" s="145"/>
      <c r="E7" s="146"/>
      <c r="F7" s="175" t="s">
        <v>51</v>
      </c>
      <c r="G7" s="146"/>
      <c r="H7" s="174">
        <v>45906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121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hidden="1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hidden="1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45860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hidden="1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"/>
      <c r="B12" s="19"/>
      <c r="C12" s="20"/>
      <c r="D12" s="19"/>
      <c r="E12" s="19"/>
      <c r="F12" s="19"/>
      <c r="G12" s="19"/>
      <c r="H12" s="19"/>
      <c r="I12" s="19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1" t="s">
        <v>56</v>
      </c>
      <c r="B13" s="21" t="s">
        <v>57</v>
      </c>
      <c r="C13" s="21" t="s">
        <v>17</v>
      </c>
      <c r="D13" s="176" t="s">
        <v>58</v>
      </c>
      <c r="E13" s="146"/>
      <c r="F13" s="21" t="s">
        <v>59</v>
      </c>
      <c r="G13" s="21" t="s">
        <v>16</v>
      </c>
      <c r="H13" s="21" t="s">
        <v>60</v>
      </c>
      <c r="I13" s="21" t="s">
        <v>61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1</v>
      </c>
      <c r="B14" s="22">
        <v>45886</v>
      </c>
      <c r="C14" s="21"/>
      <c r="D14" s="173" t="s">
        <v>122</v>
      </c>
      <c r="E14" s="146"/>
      <c r="F14" s="21"/>
      <c r="G14" s="23">
        <v>735051</v>
      </c>
      <c r="H14" s="17"/>
      <c r="I14" s="23">
        <v>735051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6">
        <v>2</v>
      </c>
      <c r="B15" s="25">
        <v>45887</v>
      </c>
      <c r="C15" s="26"/>
      <c r="D15" s="173" t="s">
        <v>122</v>
      </c>
      <c r="E15" s="146"/>
      <c r="F15" s="26"/>
      <c r="G15" s="23">
        <v>1118237</v>
      </c>
      <c r="H15" s="17"/>
      <c r="I15" s="23">
        <v>1118237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21">
        <v>3</v>
      </c>
      <c r="B16" s="25">
        <v>45887</v>
      </c>
      <c r="C16" s="26"/>
      <c r="D16" s="173" t="s">
        <v>122</v>
      </c>
      <c r="E16" s="146"/>
      <c r="F16" s="26"/>
      <c r="G16" s="23">
        <v>108889</v>
      </c>
      <c r="H16" s="17"/>
      <c r="I16" s="23">
        <v>108889</v>
      </c>
      <c r="J16" s="2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26">
        <v>4</v>
      </c>
      <c r="B17" s="25">
        <v>45888</v>
      </c>
      <c r="C17" s="26"/>
      <c r="D17" s="173" t="s">
        <v>122</v>
      </c>
      <c r="E17" s="146"/>
      <c r="F17" s="26"/>
      <c r="G17" s="23">
        <v>1000000</v>
      </c>
      <c r="H17" s="17"/>
      <c r="I17" s="23">
        <v>1000000</v>
      </c>
      <c r="J17" s="2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1">
        <v>5</v>
      </c>
      <c r="B18" s="25">
        <v>45889</v>
      </c>
      <c r="C18" s="26"/>
      <c r="D18" s="173" t="s">
        <v>122</v>
      </c>
      <c r="E18" s="146"/>
      <c r="F18" s="26"/>
      <c r="G18" s="23">
        <v>1000000</v>
      </c>
      <c r="H18" s="17"/>
      <c r="I18" s="23">
        <v>1000000</v>
      </c>
      <c r="J18" s="2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6">
        <v>6</v>
      </c>
      <c r="B19" s="25">
        <v>45890</v>
      </c>
      <c r="C19" s="26"/>
      <c r="D19" s="173" t="s">
        <v>122</v>
      </c>
      <c r="E19" s="146"/>
      <c r="F19" s="26"/>
      <c r="G19" s="23">
        <v>1402548</v>
      </c>
      <c r="H19" s="17"/>
      <c r="I19" s="23">
        <v>1402548</v>
      </c>
      <c r="J19" s="2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1">
        <v>7</v>
      </c>
      <c r="B20" s="25">
        <v>45891</v>
      </c>
      <c r="C20" s="26"/>
      <c r="D20" s="173" t="s">
        <v>122</v>
      </c>
      <c r="E20" s="146"/>
      <c r="F20" s="26"/>
      <c r="G20" s="23">
        <v>671374</v>
      </c>
      <c r="H20" s="17"/>
      <c r="I20" s="23">
        <v>671374</v>
      </c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6">
        <v>8</v>
      </c>
      <c r="B21" s="25">
        <v>45896</v>
      </c>
      <c r="C21" s="26"/>
      <c r="D21" s="173" t="s">
        <v>122</v>
      </c>
      <c r="E21" s="146"/>
      <c r="F21" s="26"/>
      <c r="G21" s="23">
        <v>2136285</v>
      </c>
      <c r="H21" s="17"/>
      <c r="I21" s="23">
        <v>2136285</v>
      </c>
      <c r="J21" s="2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1">
        <v>9</v>
      </c>
      <c r="B22" s="25">
        <v>45897</v>
      </c>
      <c r="C22" s="26"/>
      <c r="D22" s="173" t="s">
        <v>122</v>
      </c>
      <c r="E22" s="146"/>
      <c r="F22" s="26"/>
      <c r="G22" s="23">
        <v>827616</v>
      </c>
      <c r="H22" s="17"/>
      <c r="I22" s="23">
        <v>827616</v>
      </c>
      <c r="J22" s="2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26">
        <v>10</v>
      </c>
      <c r="B23" s="32" t="s">
        <v>123</v>
      </c>
      <c r="C23" s="26"/>
      <c r="D23" s="173" t="s">
        <v>122</v>
      </c>
      <c r="E23" s="146"/>
      <c r="F23" s="26"/>
      <c r="G23" s="23">
        <v>1000000</v>
      </c>
      <c r="H23" s="17"/>
      <c r="I23" s="23">
        <v>1000000</v>
      </c>
      <c r="J23" s="2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81" t="s">
        <v>76</v>
      </c>
      <c r="B24" s="182"/>
      <c r="C24" s="182"/>
      <c r="D24" s="182"/>
      <c r="E24" s="182"/>
      <c r="F24" s="180"/>
      <c r="G24" s="27">
        <f>SUM(G14:G23)</f>
        <v>10000000</v>
      </c>
      <c r="H24" s="28"/>
      <c r="I24" s="27">
        <f>SUM(I14:I23)</f>
        <v>10000000</v>
      </c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34"/>
      <c r="B25" s="34"/>
      <c r="C25" s="34"/>
      <c r="D25" s="34"/>
      <c r="E25" s="34"/>
      <c r="F25" s="34"/>
      <c r="G25" s="35"/>
      <c r="H25" s="35"/>
      <c r="I25" s="35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78" t="s">
        <v>77</v>
      </c>
      <c r="B27" s="156"/>
      <c r="C27" s="178"/>
      <c r="D27" s="156"/>
      <c r="E27" s="178"/>
      <c r="F27" s="156"/>
      <c r="G27" s="178" t="s">
        <v>78</v>
      </c>
      <c r="H27" s="156"/>
      <c r="I27" s="156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29"/>
      <c r="B28" s="29"/>
      <c r="C28" s="29"/>
      <c r="D28" s="30"/>
      <c r="E28" s="29"/>
      <c r="F28" s="30"/>
      <c r="G28" s="29"/>
      <c r="H28" s="30"/>
      <c r="I28" s="30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29"/>
      <c r="B29" s="29"/>
      <c r="C29" s="29"/>
      <c r="D29" s="30"/>
      <c r="E29" s="29"/>
      <c r="F29" s="30"/>
      <c r="G29" s="29"/>
      <c r="H29" s="30"/>
      <c r="I29" s="30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31"/>
      <c r="B30" s="31"/>
      <c r="C30" s="29"/>
      <c r="D30" s="31"/>
      <c r="E30" s="31"/>
      <c r="F30" s="31"/>
      <c r="G30" s="31"/>
      <c r="H30" s="31"/>
      <c r="I30" s="31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31"/>
      <c r="B31" s="31"/>
      <c r="C31" s="29"/>
      <c r="D31" s="31"/>
      <c r="E31" s="31"/>
      <c r="F31" s="31"/>
      <c r="G31" s="31"/>
      <c r="H31" s="31"/>
      <c r="I31" s="31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78" t="s">
        <v>41</v>
      </c>
      <c r="B32" s="156"/>
      <c r="C32" s="178"/>
      <c r="D32" s="156"/>
      <c r="E32" s="178"/>
      <c r="F32" s="156"/>
      <c r="G32" s="178" t="s">
        <v>80</v>
      </c>
      <c r="H32" s="156"/>
      <c r="I32" s="156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A10:B10"/>
    <mergeCell ref="F10:G10"/>
    <mergeCell ref="H10:I10"/>
    <mergeCell ref="C10:E10"/>
    <mergeCell ref="D11:E11"/>
    <mergeCell ref="F11:G11"/>
    <mergeCell ref="H11:I11"/>
    <mergeCell ref="D8:E8"/>
    <mergeCell ref="F8:G8"/>
    <mergeCell ref="H8:I8"/>
    <mergeCell ref="A9:B9"/>
    <mergeCell ref="C9:E9"/>
    <mergeCell ref="F9:G9"/>
    <mergeCell ref="H9:I9"/>
    <mergeCell ref="F5:G5"/>
    <mergeCell ref="H5:I5"/>
    <mergeCell ref="A6:B6"/>
    <mergeCell ref="C6:E6"/>
    <mergeCell ref="A7:B7"/>
    <mergeCell ref="C7:E7"/>
    <mergeCell ref="F7:G7"/>
    <mergeCell ref="H7:I7"/>
    <mergeCell ref="G27:I27"/>
    <mergeCell ref="A32:B32"/>
    <mergeCell ref="G32:I32"/>
    <mergeCell ref="A1:I1"/>
    <mergeCell ref="H2:I2"/>
    <mergeCell ref="A3:B3"/>
    <mergeCell ref="C3:E3"/>
    <mergeCell ref="F3:G3"/>
    <mergeCell ref="H3:I3"/>
    <mergeCell ref="A4:B4"/>
    <mergeCell ref="H4:I4"/>
    <mergeCell ref="F6:G6"/>
    <mergeCell ref="H6:I6"/>
    <mergeCell ref="C4:E4"/>
    <mergeCell ref="F4:G4"/>
    <mergeCell ref="D5:E5"/>
    <mergeCell ref="C32:D32"/>
    <mergeCell ref="E32:F32"/>
    <mergeCell ref="D23:E23"/>
    <mergeCell ref="A24:F24"/>
    <mergeCell ref="A27:B27"/>
    <mergeCell ref="C27:D27"/>
    <mergeCell ref="E27:F2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117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45961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117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119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120</v>
      </c>
      <c r="D7" s="145"/>
      <c r="E7" s="146"/>
      <c r="F7" s="175" t="s">
        <v>51</v>
      </c>
      <c r="G7" s="146"/>
      <c r="H7" s="174">
        <v>45906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121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hidden="1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hidden="1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45860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hidden="1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"/>
      <c r="B12" s="19"/>
      <c r="C12" s="20"/>
      <c r="D12" s="19"/>
      <c r="E12" s="19"/>
      <c r="F12" s="19"/>
      <c r="G12" s="19"/>
      <c r="H12" s="19"/>
      <c r="I12" s="19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1" t="s">
        <v>56</v>
      </c>
      <c r="B13" s="21" t="s">
        <v>57</v>
      </c>
      <c r="C13" s="21" t="s">
        <v>17</v>
      </c>
      <c r="D13" s="176" t="s">
        <v>58</v>
      </c>
      <c r="E13" s="146"/>
      <c r="F13" s="21" t="s">
        <v>59</v>
      </c>
      <c r="G13" s="21" t="s">
        <v>16</v>
      </c>
      <c r="H13" s="21" t="s">
        <v>60</v>
      </c>
      <c r="I13" s="21" t="s">
        <v>61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1</v>
      </c>
      <c r="B14" s="22">
        <v>45949</v>
      </c>
      <c r="C14" s="21"/>
      <c r="D14" s="173" t="s">
        <v>122</v>
      </c>
      <c r="E14" s="146"/>
      <c r="F14" s="21"/>
      <c r="G14" s="23">
        <v>634920</v>
      </c>
      <c r="H14" s="17"/>
      <c r="I14" s="23">
        <f t="shared" ref="I14:I15" si="0">G14</f>
        <v>634920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6">
        <v>2</v>
      </c>
      <c r="B15" s="25">
        <v>45949</v>
      </c>
      <c r="C15" s="26"/>
      <c r="D15" s="173" t="s">
        <v>122</v>
      </c>
      <c r="E15" s="146"/>
      <c r="F15" s="26"/>
      <c r="G15" s="23">
        <f>765873-793</f>
        <v>765080</v>
      </c>
      <c r="H15" s="17"/>
      <c r="I15" s="23">
        <f t="shared" si="0"/>
        <v>765080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81" t="s">
        <v>76</v>
      </c>
      <c r="B16" s="182"/>
      <c r="C16" s="182"/>
      <c r="D16" s="182"/>
      <c r="E16" s="182"/>
      <c r="F16" s="180"/>
      <c r="G16" s="27">
        <f>SUM(G14:G15)</f>
        <v>1400000</v>
      </c>
      <c r="H16" s="28"/>
      <c r="I16" s="27">
        <f>SUM(I14:I15)</f>
        <v>1400000</v>
      </c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34"/>
      <c r="B17" s="34"/>
      <c r="C17" s="34"/>
      <c r="D17" s="34"/>
      <c r="E17" s="34"/>
      <c r="F17" s="34"/>
      <c r="G17" s="35"/>
      <c r="H17" s="35"/>
      <c r="I17" s="35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78" t="s">
        <v>77</v>
      </c>
      <c r="B19" s="156"/>
      <c r="C19" s="178"/>
      <c r="D19" s="156"/>
      <c r="E19" s="178"/>
      <c r="F19" s="156"/>
      <c r="G19" s="178" t="s">
        <v>78</v>
      </c>
      <c r="H19" s="156"/>
      <c r="I19" s="156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9"/>
      <c r="B20" s="29"/>
      <c r="C20" s="29"/>
      <c r="D20" s="30"/>
      <c r="E20" s="29"/>
      <c r="F20" s="30"/>
      <c r="G20" s="29"/>
      <c r="H20" s="30"/>
      <c r="I20" s="30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9"/>
      <c r="B21" s="29"/>
      <c r="C21" s="29"/>
      <c r="D21" s="30"/>
      <c r="E21" s="29"/>
      <c r="F21" s="30"/>
      <c r="G21" s="29"/>
      <c r="H21" s="30"/>
      <c r="I21" s="30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31"/>
      <c r="B22" s="31"/>
      <c r="C22" s="29"/>
      <c r="D22" s="31"/>
      <c r="E22" s="31"/>
      <c r="F22" s="31"/>
      <c r="G22" s="31"/>
      <c r="H22" s="31"/>
      <c r="I22" s="31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31"/>
      <c r="B23" s="31"/>
      <c r="C23" s="29"/>
      <c r="D23" s="31"/>
      <c r="E23" s="31"/>
      <c r="F23" s="31"/>
      <c r="G23" s="31"/>
      <c r="H23" s="31"/>
      <c r="I23" s="31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78" t="s">
        <v>41</v>
      </c>
      <c r="B24" s="156"/>
      <c r="C24" s="178"/>
      <c r="D24" s="156"/>
      <c r="E24" s="178"/>
      <c r="F24" s="156"/>
      <c r="G24" s="178" t="s">
        <v>80</v>
      </c>
      <c r="H24" s="156"/>
      <c r="I24" s="156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D15:E15"/>
    <mergeCell ref="E24:F24"/>
    <mergeCell ref="G24:I24"/>
    <mergeCell ref="A16:F16"/>
    <mergeCell ref="A19:B19"/>
    <mergeCell ref="C19:D19"/>
    <mergeCell ref="E19:F19"/>
    <mergeCell ref="G19:I19"/>
    <mergeCell ref="A24:B24"/>
    <mergeCell ref="C24:D24"/>
    <mergeCell ref="D11:E11"/>
    <mergeCell ref="F11:G11"/>
    <mergeCell ref="H11:I11"/>
    <mergeCell ref="D13:E13"/>
    <mergeCell ref="D14:E14"/>
    <mergeCell ref="A9:B9"/>
    <mergeCell ref="C9:E9"/>
    <mergeCell ref="F9:G9"/>
    <mergeCell ref="H9:I9"/>
    <mergeCell ref="A10:B10"/>
    <mergeCell ref="F10:G10"/>
    <mergeCell ref="H10:I10"/>
    <mergeCell ref="C10:E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45922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119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120</v>
      </c>
      <c r="D7" s="145"/>
      <c r="E7" s="146"/>
      <c r="F7" s="175" t="s">
        <v>51</v>
      </c>
      <c r="G7" s="146"/>
      <c r="H7" s="174">
        <v>45906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121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hidden="1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hidden="1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45860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hidden="1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"/>
      <c r="B12" s="19"/>
      <c r="C12" s="20"/>
      <c r="D12" s="19"/>
      <c r="E12" s="19"/>
      <c r="F12" s="19"/>
      <c r="G12" s="19"/>
      <c r="H12" s="19"/>
      <c r="I12" s="19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1" t="s">
        <v>56</v>
      </c>
      <c r="B13" s="21" t="s">
        <v>57</v>
      </c>
      <c r="C13" s="21" t="s">
        <v>17</v>
      </c>
      <c r="D13" s="176" t="s">
        <v>58</v>
      </c>
      <c r="E13" s="146"/>
      <c r="F13" s="21" t="s">
        <v>59</v>
      </c>
      <c r="G13" s="21" t="s">
        <v>16</v>
      </c>
      <c r="H13" s="21" t="s">
        <v>60</v>
      </c>
      <c r="I13" s="21" t="s">
        <v>61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1</v>
      </c>
      <c r="B14" s="22">
        <v>45918</v>
      </c>
      <c r="C14" s="21">
        <v>2</v>
      </c>
      <c r="D14" s="173" t="s">
        <v>124</v>
      </c>
      <c r="E14" s="146"/>
      <c r="F14" s="21"/>
      <c r="G14" s="23">
        <f>350000*3</f>
        <v>1050000</v>
      </c>
      <c r="H14" s="17"/>
      <c r="I14" s="23">
        <f t="shared" ref="I14:I15" si="0">G14</f>
        <v>1050000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6">
        <v>2</v>
      </c>
      <c r="B15" s="25"/>
      <c r="C15" s="26"/>
      <c r="D15" s="173" t="s">
        <v>125</v>
      </c>
      <c r="E15" s="146"/>
      <c r="F15" s="26"/>
      <c r="G15" s="23">
        <v>450000</v>
      </c>
      <c r="H15" s="17"/>
      <c r="I15" s="23">
        <f t="shared" si="0"/>
        <v>450000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81" t="s">
        <v>76</v>
      </c>
      <c r="B16" s="182"/>
      <c r="C16" s="182"/>
      <c r="D16" s="182"/>
      <c r="E16" s="182"/>
      <c r="F16" s="180"/>
      <c r="G16" s="27">
        <f>SUM(G14:G15)</f>
        <v>1500000</v>
      </c>
      <c r="H16" s="28"/>
      <c r="I16" s="27">
        <f>SUM(I14:I15)</f>
        <v>1500000</v>
      </c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34"/>
      <c r="B17" s="34"/>
      <c r="C17" s="34"/>
      <c r="D17" s="34"/>
      <c r="E17" s="34"/>
      <c r="F17" s="34"/>
      <c r="G17" s="35"/>
      <c r="H17" s="35"/>
      <c r="I17" s="35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78" t="s">
        <v>77</v>
      </c>
      <c r="B19" s="156"/>
      <c r="C19" s="178"/>
      <c r="D19" s="156"/>
      <c r="E19" s="178"/>
      <c r="F19" s="156"/>
      <c r="G19" s="178" t="s">
        <v>78</v>
      </c>
      <c r="H19" s="156"/>
      <c r="I19" s="156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9"/>
      <c r="B20" s="29"/>
      <c r="C20" s="29"/>
      <c r="D20" s="30"/>
      <c r="E20" s="29"/>
      <c r="F20" s="30"/>
      <c r="G20" s="29"/>
      <c r="H20" s="30"/>
      <c r="I20" s="30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9"/>
      <c r="B21" s="29"/>
      <c r="C21" s="29"/>
      <c r="D21" s="30"/>
      <c r="E21" s="29"/>
      <c r="F21" s="30"/>
      <c r="G21" s="29"/>
      <c r="H21" s="30"/>
      <c r="I21" s="30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31"/>
      <c r="B22" s="31"/>
      <c r="C22" s="29"/>
      <c r="D22" s="31"/>
      <c r="E22" s="31"/>
      <c r="F22" s="31"/>
      <c r="G22" s="31"/>
      <c r="H22" s="31"/>
      <c r="I22" s="31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31"/>
      <c r="B23" s="31"/>
      <c r="C23" s="29"/>
      <c r="D23" s="31"/>
      <c r="E23" s="31"/>
      <c r="F23" s="31"/>
      <c r="G23" s="31"/>
      <c r="H23" s="31"/>
      <c r="I23" s="31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78" t="s">
        <v>41</v>
      </c>
      <c r="B24" s="156"/>
      <c r="C24" s="178"/>
      <c r="D24" s="156"/>
      <c r="E24" s="178"/>
      <c r="F24" s="156"/>
      <c r="G24" s="178" t="s">
        <v>80</v>
      </c>
      <c r="H24" s="156"/>
      <c r="I24" s="156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D15:E15"/>
    <mergeCell ref="E24:F24"/>
    <mergeCell ref="G24:I24"/>
    <mergeCell ref="A16:F16"/>
    <mergeCell ref="A19:B19"/>
    <mergeCell ref="C19:D19"/>
    <mergeCell ref="E19:F19"/>
    <mergeCell ref="G19:I19"/>
    <mergeCell ref="A24:B24"/>
    <mergeCell ref="C24:D24"/>
    <mergeCell ref="D11:E11"/>
    <mergeCell ref="F11:G11"/>
    <mergeCell ref="H11:I11"/>
    <mergeCell ref="D13:E13"/>
    <mergeCell ref="D14:E14"/>
    <mergeCell ref="A9:B9"/>
    <mergeCell ref="C9:E9"/>
    <mergeCell ref="F9:G9"/>
    <mergeCell ref="H9:I9"/>
    <mergeCell ref="A10:B10"/>
    <mergeCell ref="F10:G10"/>
    <mergeCell ref="H10:I10"/>
    <mergeCell ref="C10:E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4" width="12.6640625" customWidth="1"/>
    <col min="5" max="5" width="34" customWidth="1"/>
    <col min="6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45922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72" t="s">
        <v>46</v>
      </c>
      <c r="B6" s="146"/>
      <c r="C6" s="172" t="s">
        <v>126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172" t="s">
        <v>49</v>
      </c>
      <c r="B7" s="146"/>
      <c r="C7" s="172" t="s">
        <v>127</v>
      </c>
      <c r="D7" s="145"/>
      <c r="E7" s="146"/>
      <c r="F7" s="175" t="s">
        <v>51</v>
      </c>
      <c r="G7" s="146"/>
      <c r="H7" s="174">
        <v>45922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7" t="s">
        <v>52</v>
      </c>
      <c r="B8" s="17" t="s">
        <v>10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72" t="s">
        <v>46</v>
      </c>
      <c r="B9" s="146"/>
      <c r="C9" s="172" t="s">
        <v>128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72" t="s">
        <v>49</v>
      </c>
      <c r="B10" s="146"/>
      <c r="C10" s="172" t="s">
        <v>129</v>
      </c>
      <c r="D10" s="145"/>
      <c r="E10" s="146"/>
      <c r="F10" s="175" t="s">
        <v>51</v>
      </c>
      <c r="G10" s="146"/>
      <c r="H10" s="174">
        <v>45922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7" t="s">
        <v>52</v>
      </c>
      <c r="B11" s="17" t="s">
        <v>10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hidden="1" customHeight="1">
      <c r="A12" s="172" t="s">
        <v>46</v>
      </c>
      <c r="B12" s="146"/>
      <c r="C12" s="172" t="s">
        <v>119</v>
      </c>
      <c r="D12" s="145"/>
      <c r="E12" s="146"/>
      <c r="F12" s="172" t="s">
        <v>14</v>
      </c>
      <c r="G12" s="146"/>
      <c r="H12" s="173" t="s">
        <v>48</v>
      </c>
      <c r="I12" s="146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hidden="1" customHeight="1">
      <c r="A13" s="172" t="s">
        <v>49</v>
      </c>
      <c r="B13" s="146"/>
      <c r="C13" s="172" t="s">
        <v>120</v>
      </c>
      <c r="D13" s="145"/>
      <c r="E13" s="146"/>
      <c r="F13" s="175" t="s">
        <v>51</v>
      </c>
      <c r="G13" s="146"/>
      <c r="H13" s="174">
        <v>45906</v>
      </c>
      <c r="I13" s="146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hidden="1" customHeight="1">
      <c r="A14" s="17" t="s">
        <v>52</v>
      </c>
      <c r="B14" s="17" t="s">
        <v>121</v>
      </c>
      <c r="C14" s="17" t="s">
        <v>7</v>
      </c>
      <c r="D14" s="172" t="s">
        <v>54</v>
      </c>
      <c r="E14" s="146"/>
      <c r="F14" s="172" t="s">
        <v>55</v>
      </c>
      <c r="G14" s="146"/>
      <c r="H14" s="173" t="s">
        <v>48</v>
      </c>
      <c r="I14" s="146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hidden="1" customHeight="1">
      <c r="A15" s="172" t="s">
        <v>46</v>
      </c>
      <c r="B15" s="146"/>
      <c r="C15" s="172" t="s">
        <v>84</v>
      </c>
      <c r="D15" s="145"/>
      <c r="E15" s="146"/>
      <c r="F15" s="172" t="s">
        <v>14</v>
      </c>
      <c r="G15" s="146"/>
      <c r="H15" s="173" t="s">
        <v>48</v>
      </c>
      <c r="I15" s="14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hidden="1" customHeight="1">
      <c r="A16" s="172" t="s">
        <v>49</v>
      </c>
      <c r="B16" s="146"/>
      <c r="C16" s="172" t="s">
        <v>85</v>
      </c>
      <c r="D16" s="145"/>
      <c r="E16" s="146"/>
      <c r="F16" s="175" t="s">
        <v>51</v>
      </c>
      <c r="G16" s="146"/>
      <c r="H16" s="174">
        <v>45860</v>
      </c>
      <c r="I16" s="14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hidden="1" customHeight="1">
      <c r="A17" s="17" t="s">
        <v>52</v>
      </c>
      <c r="B17" s="17" t="s">
        <v>53</v>
      </c>
      <c r="C17" s="17" t="s">
        <v>7</v>
      </c>
      <c r="D17" s="172" t="s">
        <v>54</v>
      </c>
      <c r="E17" s="146"/>
      <c r="F17" s="172" t="s">
        <v>55</v>
      </c>
      <c r="G17" s="146"/>
      <c r="H17" s="173" t="s">
        <v>48</v>
      </c>
      <c r="I17" s="146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8"/>
      <c r="B18" s="19"/>
      <c r="C18" s="20"/>
      <c r="D18" s="19"/>
      <c r="E18" s="19"/>
      <c r="F18" s="19"/>
      <c r="G18" s="19"/>
      <c r="H18" s="19"/>
      <c r="I18" s="1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1" t="s">
        <v>56</v>
      </c>
      <c r="B19" s="21" t="s">
        <v>57</v>
      </c>
      <c r="C19" s="21" t="s">
        <v>17</v>
      </c>
      <c r="D19" s="176" t="s">
        <v>58</v>
      </c>
      <c r="E19" s="146"/>
      <c r="F19" s="21" t="s">
        <v>59</v>
      </c>
      <c r="G19" s="21" t="s">
        <v>16</v>
      </c>
      <c r="H19" s="21" t="s">
        <v>60</v>
      </c>
      <c r="I19" s="21" t="s">
        <v>61</v>
      </c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1">
        <v>1</v>
      </c>
      <c r="B20" s="22">
        <v>45914</v>
      </c>
      <c r="C20" s="21"/>
      <c r="D20" s="173" t="s">
        <v>130</v>
      </c>
      <c r="E20" s="146"/>
      <c r="F20" s="21"/>
      <c r="G20" s="23">
        <f>450000+350000+350000</f>
        <v>1150000</v>
      </c>
      <c r="H20" s="17"/>
      <c r="I20" s="23">
        <f t="shared" ref="I20:I28" si="0">G20</f>
        <v>1150000</v>
      </c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1">
        <v>2</v>
      </c>
      <c r="B21" s="22">
        <v>45916</v>
      </c>
      <c r="C21" s="21"/>
      <c r="D21" s="173" t="s">
        <v>131</v>
      </c>
      <c r="E21" s="146"/>
      <c r="F21" s="21"/>
      <c r="G21" s="23">
        <v>1750000</v>
      </c>
      <c r="H21" s="17"/>
      <c r="I21" s="23">
        <f t="shared" si="0"/>
        <v>1750000</v>
      </c>
      <c r="J21" s="2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1">
        <v>3</v>
      </c>
      <c r="B22" s="22">
        <v>45913</v>
      </c>
      <c r="C22" s="21"/>
      <c r="D22" s="179" t="s">
        <v>132</v>
      </c>
      <c r="E22" s="180"/>
      <c r="F22" s="21"/>
      <c r="G22" s="23">
        <f>120000*3</f>
        <v>360000</v>
      </c>
      <c r="H22" s="17"/>
      <c r="I22" s="23">
        <f t="shared" si="0"/>
        <v>360000</v>
      </c>
      <c r="J22" s="2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21">
        <v>4</v>
      </c>
      <c r="B23" s="22">
        <v>45913</v>
      </c>
      <c r="C23" s="21"/>
      <c r="D23" s="179" t="s">
        <v>133</v>
      </c>
      <c r="E23" s="180"/>
      <c r="F23" s="21"/>
      <c r="G23" s="23">
        <f>300000*3</f>
        <v>900000</v>
      </c>
      <c r="H23" s="17"/>
      <c r="I23" s="23">
        <f t="shared" si="0"/>
        <v>900000</v>
      </c>
      <c r="J23" s="2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21">
        <v>5</v>
      </c>
      <c r="B24" s="22">
        <v>45914</v>
      </c>
      <c r="C24" s="21"/>
      <c r="D24" s="179" t="s">
        <v>134</v>
      </c>
      <c r="E24" s="180"/>
      <c r="F24" s="21"/>
      <c r="G24" s="23">
        <f>150000*3</f>
        <v>450000</v>
      </c>
      <c r="H24" s="17"/>
      <c r="I24" s="23">
        <f t="shared" si="0"/>
        <v>450000</v>
      </c>
      <c r="J24" s="2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21">
        <v>6</v>
      </c>
      <c r="B25" s="22">
        <v>45914</v>
      </c>
      <c r="C25" s="21"/>
      <c r="D25" s="179" t="s">
        <v>135</v>
      </c>
      <c r="E25" s="180"/>
      <c r="F25" s="21"/>
      <c r="G25" s="23">
        <f>350000*3</f>
        <v>1050000</v>
      </c>
      <c r="H25" s="17"/>
      <c r="I25" s="23">
        <f t="shared" si="0"/>
        <v>1050000</v>
      </c>
      <c r="J25" s="2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21">
        <v>7</v>
      </c>
      <c r="B26" s="22">
        <v>45915</v>
      </c>
      <c r="C26" s="21"/>
      <c r="D26" s="179" t="s">
        <v>136</v>
      </c>
      <c r="E26" s="180"/>
      <c r="F26" s="21"/>
      <c r="G26" s="23">
        <f>250000*3</f>
        <v>750000</v>
      </c>
      <c r="H26" s="17"/>
      <c r="I26" s="23">
        <f t="shared" si="0"/>
        <v>750000</v>
      </c>
      <c r="J26" s="2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21">
        <v>8</v>
      </c>
      <c r="B27" s="22">
        <v>45916</v>
      </c>
      <c r="C27" s="21"/>
      <c r="D27" s="179" t="s">
        <v>137</v>
      </c>
      <c r="E27" s="180"/>
      <c r="F27" s="21"/>
      <c r="G27" s="23">
        <f>140000*3</f>
        <v>420000</v>
      </c>
      <c r="H27" s="17"/>
      <c r="I27" s="23">
        <f t="shared" si="0"/>
        <v>420000</v>
      </c>
      <c r="J27" s="2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21">
        <v>9</v>
      </c>
      <c r="B28" s="22">
        <v>45916</v>
      </c>
      <c r="C28" s="21"/>
      <c r="D28" s="179" t="s">
        <v>138</v>
      </c>
      <c r="E28" s="180"/>
      <c r="F28" s="21"/>
      <c r="G28" s="23">
        <f>300000*3</f>
        <v>900000</v>
      </c>
      <c r="H28" s="17"/>
      <c r="I28" s="23">
        <f t="shared" si="0"/>
        <v>900000</v>
      </c>
      <c r="J28" s="2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94" t="s">
        <v>76</v>
      </c>
      <c r="B29" s="145"/>
      <c r="C29" s="145"/>
      <c r="D29" s="145"/>
      <c r="E29" s="145"/>
      <c r="F29" s="146"/>
      <c r="G29" s="27">
        <f>SUM(G20:G28)</f>
        <v>7730000</v>
      </c>
      <c r="H29" s="68"/>
      <c r="I29" s="27">
        <f>SUM(I20:I28)</f>
        <v>7730000</v>
      </c>
      <c r="J29" s="2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29"/>
      <c r="B30" s="69"/>
      <c r="C30" s="29"/>
      <c r="D30" s="29"/>
      <c r="E30" s="29"/>
      <c r="F30" s="29"/>
      <c r="G30" s="70"/>
      <c r="H30" s="16"/>
      <c r="I30" s="70"/>
      <c r="J30" s="2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34"/>
      <c r="B31" s="34"/>
      <c r="C31" s="34"/>
      <c r="D31" s="34"/>
      <c r="E31" s="34"/>
      <c r="F31" s="34"/>
      <c r="G31" s="35"/>
      <c r="H31" s="35"/>
      <c r="I31" s="35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78" t="s">
        <v>77</v>
      </c>
      <c r="B33" s="156"/>
      <c r="C33" s="178"/>
      <c r="D33" s="156"/>
      <c r="E33" s="178"/>
      <c r="F33" s="156"/>
      <c r="G33" s="178" t="s">
        <v>78</v>
      </c>
      <c r="H33" s="156"/>
      <c r="I33" s="156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29"/>
      <c r="B34" s="29"/>
      <c r="C34" s="29"/>
      <c r="D34" s="30"/>
      <c r="E34" s="29"/>
      <c r="F34" s="30"/>
      <c r="G34" s="29"/>
      <c r="H34" s="30"/>
      <c r="I34" s="30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29"/>
      <c r="B35" s="29"/>
      <c r="C35" s="29"/>
      <c r="D35" s="30"/>
      <c r="E35" s="29"/>
      <c r="F35" s="30"/>
      <c r="G35" s="29"/>
      <c r="H35" s="30"/>
      <c r="I35" s="30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31"/>
      <c r="B36" s="31"/>
      <c r="C36" s="29"/>
      <c r="D36" s="31"/>
      <c r="E36" s="31"/>
      <c r="F36" s="31"/>
      <c r="G36" s="31"/>
      <c r="H36" s="31"/>
      <c r="I36" s="31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31"/>
      <c r="B37" s="31"/>
      <c r="C37" s="29"/>
      <c r="D37" s="31"/>
      <c r="E37" s="31"/>
      <c r="F37" s="31"/>
      <c r="G37" s="31"/>
      <c r="H37" s="31"/>
      <c r="I37" s="31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78" t="s">
        <v>41</v>
      </c>
      <c r="B38" s="156"/>
      <c r="C38" s="178"/>
      <c r="D38" s="156"/>
      <c r="E38" s="178"/>
      <c r="F38" s="156"/>
      <c r="G38" s="178" t="s">
        <v>80</v>
      </c>
      <c r="H38" s="156"/>
      <c r="I38" s="156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5:B15"/>
    <mergeCell ref="A16:B16"/>
    <mergeCell ref="A38:B38"/>
    <mergeCell ref="D19:E19"/>
    <mergeCell ref="D20:E20"/>
    <mergeCell ref="D21:E21"/>
    <mergeCell ref="D22:E22"/>
    <mergeCell ref="D23:E23"/>
    <mergeCell ref="D24:E24"/>
    <mergeCell ref="D25:E25"/>
    <mergeCell ref="A9:B9"/>
    <mergeCell ref="C9:E9"/>
    <mergeCell ref="F9:G9"/>
    <mergeCell ref="H9:I9"/>
    <mergeCell ref="A10:B10"/>
    <mergeCell ref="F10:G10"/>
    <mergeCell ref="H10:I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  <mergeCell ref="C33:D33"/>
    <mergeCell ref="C38:D38"/>
    <mergeCell ref="E38:F38"/>
    <mergeCell ref="G38:I38"/>
    <mergeCell ref="D26:E26"/>
    <mergeCell ref="D27:E27"/>
    <mergeCell ref="D28:E28"/>
    <mergeCell ref="A29:F29"/>
    <mergeCell ref="A33:B33"/>
    <mergeCell ref="E33:F33"/>
    <mergeCell ref="G33:I33"/>
    <mergeCell ref="F17:G17"/>
    <mergeCell ref="H17:I17"/>
    <mergeCell ref="C15:E15"/>
    <mergeCell ref="F15:G15"/>
    <mergeCell ref="H15:I15"/>
    <mergeCell ref="C16:E16"/>
    <mergeCell ref="F16:G16"/>
    <mergeCell ref="H16:I16"/>
    <mergeCell ref="D17:E17"/>
    <mergeCell ref="A12:B12"/>
    <mergeCell ref="C13:E13"/>
    <mergeCell ref="F13:G13"/>
    <mergeCell ref="H13:I13"/>
    <mergeCell ref="D14:E14"/>
    <mergeCell ref="F14:G14"/>
    <mergeCell ref="H14:I14"/>
    <mergeCell ref="A13:B13"/>
    <mergeCell ref="C10:E10"/>
    <mergeCell ref="D11:E11"/>
    <mergeCell ref="F11:G11"/>
    <mergeCell ref="H11:I11"/>
    <mergeCell ref="C12:E12"/>
    <mergeCell ref="F12:G12"/>
    <mergeCell ref="H12:I1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4" width="12.6640625" customWidth="1"/>
    <col min="5" max="5" width="21.33203125" customWidth="1"/>
    <col min="6" max="6" width="12.6640625" customWidth="1"/>
  </cols>
  <sheetData>
    <row r="1" spans="1:25" ht="15.75" customHeight="1">
      <c r="A1" s="170" t="s">
        <v>139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45922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72" t="s">
        <v>46</v>
      </c>
      <c r="B6" s="146"/>
      <c r="C6" s="172" t="s">
        <v>126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172" t="s">
        <v>49</v>
      </c>
      <c r="B7" s="146"/>
      <c r="C7" s="172" t="s">
        <v>127</v>
      </c>
      <c r="D7" s="145"/>
      <c r="E7" s="146"/>
      <c r="F7" s="175" t="s">
        <v>51</v>
      </c>
      <c r="G7" s="146"/>
      <c r="H7" s="174">
        <v>45922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7" t="s">
        <v>52</v>
      </c>
      <c r="B8" s="17" t="s">
        <v>10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72" t="s">
        <v>46</v>
      </c>
      <c r="B9" s="146"/>
      <c r="C9" s="172" t="s">
        <v>128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>
        <f>8141+3100</f>
        <v>11241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72" t="s">
        <v>49</v>
      </c>
      <c r="B10" s="146"/>
      <c r="C10" s="172" t="s">
        <v>129</v>
      </c>
      <c r="D10" s="145"/>
      <c r="E10" s="146"/>
      <c r="F10" s="175" t="s">
        <v>51</v>
      </c>
      <c r="G10" s="146"/>
      <c r="H10" s="174">
        <v>45922</v>
      </c>
      <c r="I10" s="146"/>
      <c r="J10" s="13"/>
      <c r="K10" s="14"/>
      <c r="L10" s="14"/>
      <c r="M10" s="14">
        <f>3964+7730</f>
        <v>11694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7" t="s">
        <v>52</v>
      </c>
      <c r="B11" s="17" t="s">
        <v>10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hidden="1" customHeight="1">
      <c r="A12" s="172" t="s">
        <v>46</v>
      </c>
      <c r="B12" s="146"/>
      <c r="C12" s="172" t="s">
        <v>119</v>
      </c>
      <c r="D12" s="145"/>
      <c r="E12" s="146"/>
      <c r="F12" s="172" t="s">
        <v>14</v>
      </c>
      <c r="G12" s="146"/>
      <c r="H12" s="173" t="s">
        <v>48</v>
      </c>
      <c r="I12" s="146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hidden="1" customHeight="1">
      <c r="A13" s="172" t="s">
        <v>49</v>
      </c>
      <c r="B13" s="146"/>
      <c r="C13" s="172" t="s">
        <v>120</v>
      </c>
      <c r="D13" s="145"/>
      <c r="E13" s="146"/>
      <c r="F13" s="175" t="s">
        <v>51</v>
      </c>
      <c r="G13" s="146"/>
      <c r="H13" s="174">
        <v>45906</v>
      </c>
      <c r="I13" s="146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hidden="1" customHeight="1">
      <c r="A14" s="17" t="s">
        <v>52</v>
      </c>
      <c r="B14" s="17" t="s">
        <v>121</v>
      </c>
      <c r="C14" s="17" t="s">
        <v>7</v>
      </c>
      <c r="D14" s="172" t="s">
        <v>54</v>
      </c>
      <c r="E14" s="146"/>
      <c r="F14" s="172" t="s">
        <v>55</v>
      </c>
      <c r="G14" s="146"/>
      <c r="H14" s="173" t="s">
        <v>48</v>
      </c>
      <c r="I14" s="146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hidden="1" customHeight="1">
      <c r="A15" s="172" t="s">
        <v>46</v>
      </c>
      <c r="B15" s="146"/>
      <c r="C15" s="172" t="s">
        <v>84</v>
      </c>
      <c r="D15" s="145"/>
      <c r="E15" s="146"/>
      <c r="F15" s="172" t="s">
        <v>14</v>
      </c>
      <c r="G15" s="146"/>
      <c r="H15" s="173" t="s">
        <v>48</v>
      </c>
      <c r="I15" s="14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hidden="1" customHeight="1">
      <c r="A16" s="172" t="s">
        <v>49</v>
      </c>
      <c r="B16" s="146"/>
      <c r="C16" s="172" t="s">
        <v>85</v>
      </c>
      <c r="D16" s="145"/>
      <c r="E16" s="146"/>
      <c r="F16" s="175" t="s">
        <v>51</v>
      </c>
      <c r="G16" s="146"/>
      <c r="H16" s="174">
        <v>45860</v>
      </c>
      <c r="I16" s="14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hidden="1" customHeight="1">
      <c r="A17" s="17" t="s">
        <v>52</v>
      </c>
      <c r="B17" s="17" t="s">
        <v>53</v>
      </c>
      <c r="C17" s="17" t="s">
        <v>7</v>
      </c>
      <c r="D17" s="172" t="s">
        <v>54</v>
      </c>
      <c r="E17" s="146"/>
      <c r="F17" s="172" t="s">
        <v>55</v>
      </c>
      <c r="G17" s="146"/>
      <c r="H17" s="173" t="s">
        <v>48</v>
      </c>
      <c r="I17" s="146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8"/>
      <c r="B18" s="19"/>
      <c r="C18" s="20"/>
      <c r="D18" s="19"/>
      <c r="E18" s="19"/>
      <c r="F18" s="19"/>
      <c r="G18" s="19"/>
      <c r="H18" s="19"/>
      <c r="I18" s="1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1" t="s">
        <v>56</v>
      </c>
      <c r="B19" s="21" t="s">
        <v>57</v>
      </c>
      <c r="C19" s="21" t="s">
        <v>17</v>
      </c>
      <c r="D19" s="176" t="s">
        <v>58</v>
      </c>
      <c r="E19" s="146"/>
      <c r="F19" s="21" t="s">
        <v>59</v>
      </c>
      <c r="G19" s="21" t="s">
        <v>16</v>
      </c>
      <c r="H19" s="21" t="s">
        <v>60</v>
      </c>
      <c r="I19" s="21" t="s">
        <v>61</v>
      </c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1">
        <v>1</v>
      </c>
      <c r="B20" s="22"/>
      <c r="C20" s="21"/>
      <c r="D20" s="173" t="s">
        <v>140</v>
      </c>
      <c r="E20" s="146"/>
      <c r="F20" s="21"/>
      <c r="G20" s="23">
        <v>150000</v>
      </c>
      <c r="H20" s="17"/>
      <c r="I20" s="23">
        <f t="shared" ref="I20:I43" si="0">G20</f>
        <v>150000</v>
      </c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6">
        <v>2</v>
      </c>
      <c r="B21" s="25"/>
      <c r="C21" s="26"/>
      <c r="D21" s="173" t="s">
        <v>141</v>
      </c>
      <c r="E21" s="146"/>
      <c r="F21" s="26"/>
      <c r="G21" s="23">
        <f>4*150000*3</f>
        <v>1800000</v>
      </c>
      <c r="H21" s="17"/>
      <c r="I21" s="23">
        <f t="shared" si="0"/>
        <v>1800000</v>
      </c>
      <c r="J21" s="2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1">
        <v>3</v>
      </c>
      <c r="B22" s="25">
        <v>45916</v>
      </c>
      <c r="C22" s="32" t="s">
        <v>142</v>
      </c>
      <c r="D22" s="173" t="s">
        <v>143</v>
      </c>
      <c r="E22" s="146"/>
      <c r="F22" s="26"/>
      <c r="G22" s="23">
        <f>450000+350000+350000</f>
        <v>1150000</v>
      </c>
      <c r="H22" s="17"/>
      <c r="I22" s="23">
        <f t="shared" si="0"/>
        <v>1150000</v>
      </c>
      <c r="J22" s="2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26">
        <v>4</v>
      </c>
      <c r="B23" s="25">
        <v>45916</v>
      </c>
      <c r="C23" s="32" t="s">
        <v>144</v>
      </c>
      <c r="D23" s="173" t="s">
        <v>145</v>
      </c>
      <c r="E23" s="146"/>
      <c r="F23" s="26"/>
      <c r="G23" s="23">
        <v>864000</v>
      </c>
      <c r="H23" s="17"/>
      <c r="I23" s="23">
        <f t="shared" si="0"/>
        <v>864000</v>
      </c>
      <c r="J23" s="2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hidden="1" customHeight="1">
      <c r="A24" s="21">
        <v>5</v>
      </c>
      <c r="B24" s="25">
        <v>45912</v>
      </c>
      <c r="C24" s="26">
        <v>57094980</v>
      </c>
      <c r="D24" s="179" t="s">
        <v>146</v>
      </c>
      <c r="E24" s="180"/>
      <c r="F24" s="26"/>
      <c r="G24" s="23">
        <v>86047</v>
      </c>
      <c r="H24" s="17"/>
      <c r="I24" s="23">
        <f t="shared" si="0"/>
        <v>86047</v>
      </c>
      <c r="J24" s="2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hidden="1" customHeight="1">
      <c r="A25" s="26">
        <v>6</v>
      </c>
      <c r="B25" s="25">
        <v>45912</v>
      </c>
      <c r="C25" s="26">
        <v>57229508</v>
      </c>
      <c r="D25" s="179" t="s">
        <v>147</v>
      </c>
      <c r="E25" s="180"/>
      <c r="F25" s="26"/>
      <c r="G25" s="23">
        <v>196701</v>
      </c>
      <c r="H25" s="17"/>
      <c r="I25" s="23">
        <f t="shared" si="0"/>
        <v>196701</v>
      </c>
      <c r="J25" s="2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hidden="1" customHeight="1">
      <c r="A26" s="21">
        <v>7</v>
      </c>
      <c r="B26" s="25">
        <v>45913</v>
      </c>
      <c r="C26" s="26">
        <v>57388172</v>
      </c>
      <c r="D26" s="179" t="s">
        <v>148</v>
      </c>
      <c r="E26" s="180"/>
      <c r="F26" s="26"/>
      <c r="G26" s="23">
        <v>40000</v>
      </c>
      <c r="H26" s="17"/>
      <c r="I26" s="23">
        <f t="shared" si="0"/>
        <v>40000</v>
      </c>
      <c r="J26" s="2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hidden="1" customHeight="1">
      <c r="A27" s="26">
        <v>8</v>
      </c>
      <c r="B27" s="25">
        <v>45913</v>
      </c>
      <c r="C27" s="26">
        <v>57401240</v>
      </c>
      <c r="D27" s="179" t="s">
        <v>149</v>
      </c>
      <c r="E27" s="180"/>
      <c r="F27" s="26"/>
      <c r="G27" s="23">
        <v>108000</v>
      </c>
      <c r="H27" s="17"/>
      <c r="I27" s="23">
        <f t="shared" si="0"/>
        <v>108000</v>
      </c>
      <c r="J27" s="2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hidden="1" customHeight="1">
      <c r="A28" s="21">
        <v>9</v>
      </c>
      <c r="B28" s="25">
        <v>45913</v>
      </c>
      <c r="C28" s="26">
        <v>57424428</v>
      </c>
      <c r="D28" s="179" t="s">
        <v>150</v>
      </c>
      <c r="E28" s="180"/>
      <c r="F28" s="26"/>
      <c r="G28" s="23">
        <v>40000</v>
      </c>
      <c r="H28" s="17"/>
      <c r="I28" s="23">
        <f t="shared" si="0"/>
        <v>40000</v>
      </c>
      <c r="J28" s="2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hidden="1" customHeight="1">
      <c r="A29" s="26">
        <v>10</v>
      </c>
      <c r="B29" s="25">
        <v>45913</v>
      </c>
      <c r="C29" s="26">
        <v>57585349</v>
      </c>
      <c r="D29" s="179" t="s">
        <v>151</v>
      </c>
      <c r="E29" s="180"/>
      <c r="F29" s="26"/>
      <c r="G29" s="23">
        <v>34000</v>
      </c>
      <c r="H29" s="17"/>
      <c r="I29" s="23">
        <f t="shared" si="0"/>
        <v>34000</v>
      </c>
      <c r="J29" s="2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hidden="1" customHeight="1">
      <c r="A30" s="21">
        <v>11</v>
      </c>
      <c r="B30" s="25">
        <v>45913</v>
      </c>
      <c r="C30" s="26">
        <v>57627175</v>
      </c>
      <c r="D30" s="179" t="s">
        <v>152</v>
      </c>
      <c r="E30" s="180"/>
      <c r="F30" s="26"/>
      <c r="G30" s="23">
        <v>40000</v>
      </c>
      <c r="H30" s="17"/>
      <c r="I30" s="23">
        <f t="shared" si="0"/>
        <v>40000</v>
      </c>
      <c r="J30" s="2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hidden="1" customHeight="1">
      <c r="A31" s="26">
        <v>12</v>
      </c>
      <c r="B31" s="25">
        <v>45913</v>
      </c>
      <c r="C31" s="26">
        <v>57679463</v>
      </c>
      <c r="D31" s="179" t="s">
        <v>153</v>
      </c>
      <c r="E31" s="180"/>
      <c r="F31" s="26"/>
      <c r="G31" s="23">
        <v>40000</v>
      </c>
      <c r="H31" s="17"/>
      <c r="I31" s="23">
        <f t="shared" si="0"/>
        <v>40000</v>
      </c>
      <c r="J31" s="2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hidden="1" customHeight="1">
      <c r="A32" s="21">
        <v>13</v>
      </c>
      <c r="B32" s="25">
        <v>45914</v>
      </c>
      <c r="C32" s="26">
        <v>58272962</v>
      </c>
      <c r="D32" s="179" t="s">
        <v>154</v>
      </c>
      <c r="E32" s="180"/>
      <c r="F32" s="26"/>
      <c r="G32" s="23">
        <v>40000</v>
      </c>
      <c r="H32" s="17"/>
      <c r="I32" s="23">
        <f t="shared" si="0"/>
        <v>40000</v>
      </c>
      <c r="J32" s="2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hidden="1" customHeight="1">
      <c r="A33" s="26">
        <v>14</v>
      </c>
      <c r="B33" s="25">
        <v>45914</v>
      </c>
      <c r="C33" s="26">
        <v>58316540</v>
      </c>
      <c r="D33" s="179" t="s">
        <v>155</v>
      </c>
      <c r="E33" s="180"/>
      <c r="F33" s="26"/>
      <c r="G33" s="23">
        <v>40000</v>
      </c>
      <c r="H33" s="17"/>
      <c r="I33" s="23">
        <f t="shared" si="0"/>
        <v>40000</v>
      </c>
      <c r="J33" s="2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hidden="1" customHeight="1">
      <c r="A34" s="21">
        <v>15</v>
      </c>
      <c r="B34" s="25">
        <v>45915</v>
      </c>
      <c r="C34" s="26">
        <v>58762784</v>
      </c>
      <c r="D34" s="179" t="s">
        <v>156</v>
      </c>
      <c r="E34" s="180"/>
      <c r="F34" s="26"/>
      <c r="G34" s="23">
        <v>28000</v>
      </c>
      <c r="H34" s="17"/>
      <c r="I34" s="23">
        <f t="shared" si="0"/>
        <v>28000</v>
      </c>
      <c r="J34" s="2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hidden="1" customHeight="1">
      <c r="A35" s="26">
        <v>16</v>
      </c>
      <c r="B35" s="25">
        <v>45915</v>
      </c>
      <c r="C35" s="26">
        <v>58866657</v>
      </c>
      <c r="D35" s="179" t="s">
        <v>157</v>
      </c>
      <c r="E35" s="180"/>
      <c r="F35" s="26"/>
      <c r="G35" s="23">
        <v>40000</v>
      </c>
      <c r="H35" s="17"/>
      <c r="I35" s="23">
        <f t="shared" si="0"/>
        <v>40000</v>
      </c>
      <c r="J35" s="2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hidden="1" customHeight="1">
      <c r="A36" s="21">
        <v>17</v>
      </c>
      <c r="B36" s="25">
        <v>45915</v>
      </c>
      <c r="C36" s="26">
        <v>58923820</v>
      </c>
      <c r="D36" s="179" t="s">
        <v>158</v>
      </c>
      <c r="E36" s="180"/>
      <c r="F36" s="26"/>
      <c r="G36" s="23">
        <v>15202</v>
      </c>
      <c r="H36" s="17"/>
      <c r="I36" s="23">
        <f t="shared" si="0"/>
        <v>15202</v>
      </c>
      <c r="J36" s="2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hidden="1" customHeight="1">
      <c r="A37" s="26">
        <v>18</v>
      </c>
      <c r="B37" s="25">
        <v>45916</v>
      </c>
      <c r="C37" s="26">
        <v>59221451</v>
      </c>
      <c r="D37" s="179" t="s">
        <v>159</v>
      </c>
      <c r="E37" s="180"/>
      <c r="F37" s="26"/>
      <c r="G37" s="23">
        <v>64817</v>
      </c>
      <c r="H37" s="17"/>
      <c r="I37" s="23">
        <f t="shared" si="0"/>
        <v>64817</v>
      </c>
      <c r="J37" s="2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hidden="1" customHeight="1">
      <c r="A38" s="21">
        <v>19</v>
      </c>
      <c r="B38" s="25">
        <v>45916</v>
      </c>
      <c r="C38" s="26">
        <v>59275283</v>
      </c>
      <c r="D38" s="179" t="s">
        <v>160</v>
      </c>
      <c r="E38" s="180"/>
      <c r="F38" s="26"/>
      <c r="G38" s="23">
        <v>40000</v>
      </c>
      <c r="H38" s="17"/>
      <c r="I38" s="23">
        <f t="shared" si="0"/>
        <v>40000</v>
      </c>
      <c r="J38" s="2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hidden="1" customHeight="1">
      <c r="A39" s="26">
        <v>20</v>
      </c>
      <c r="B39" s="25">
        <v>45916</v>
      </c>
      <c r="C39" s="26">
        <v>59393462</v>
      </c>
      <c r="D39" s="179" t="s">
        <v>161</v>
      </c>
      <c r="E39" s="180"/>
      <c r="F39" s="26"/>
      <c r="G39" s="23">
        <v>86047</v>
      </c>
      <c r="H39" s="17"/>
      <c r="I39" s="23">
        <f t="shared" si="0"/>
        <v>86047</v>
      </c>
      <c r="J39" s="2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hidden="1" customHeight="1">
      <c r="A40" s="26">
        <v>21</v>
      </c>
      <c r="B40" s="25">
        <v>45913</v>
      </c>
      <c r="C40" s="26">
        <v>656063</v>
      </c>
      <c r="D40" s="179" t="s">
        <v>162</v>
      </c>
      <c r="E40" s="180"/>
      <c r="F40" s="26"/>
      <c r="G40" s="23">
        <v>900000</v>
      </c>
      <c r="H40" s="17"/>
      <c r="I40" s="23">
        <f t="shared" si="0"/>
        <v>900000</v>
      </c>
      <c r="J40" s="2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hidden="1" customHeight="1">
      <c r="A41" s="26">
        <v>22</v>
      </c>
      <c r="B41" s="25">
        <v>45914</v>
      </c>
      <c r="C41" s="26">
        <v>120387</v>
      </c>
      <c r="D41" s="179" t="s">
        <v>162</v>
      </c>
      <c r="E41" s="180"/>
      <c r="F41" s="26"/>
      <c r="G41" s="23">
        <v>780020</v>
      </c>
      <c r="H41" s="17"/>
      <c r="I41" s="23">
        <f t="shared" si="0"/>
        <v>780020</v>
      </c>
      <c r="J41" s="2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hidden="1" customHeight="1">
      <c r="A42" s="26">
        <v>23</v>
      </c>
      <c r="B42" s="25">
        <v>45916</v>
      </c>
      <c r="C42" s="26">
        <v>799546</v>
      </c>
      <c r="D42" s="179" t="s">
        <v>163</v>
      </c>
      <c r="E42" s="180"/>
      <c r="F42" s="26"/>
      <c r="G42" s="23">
        <v>568271</v>
      </c>
      <c r="H42" s="17"/>
      <c r="I42" s="23">
        <f t="shared" si="0"/>
        <v>568271</v>
      </c>
      <c r="J42" s="2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hidden="1" customHeight="1">
      <c r="A43" s="26">
        <v>24</v>
      </c>
      <c r="B43" s="25">
        <v>45916</v>
      </c>
      <c r="C43" s="26">
        <v>183702</v>
      </c>
      <c r="D43" s="179" t="s">
        <v>162</v>
      </c>
      <c r="E43" s="180"/>
      <c r="F43" s="26"/>
      <c r="G43" s="23">
        <v>790463</v>
      </c>
      <c r="H43" s="17"/>
      <c r="I43" s="23">
        <f t="shared" si="0"/>
        <v>790463</v>
      </c>
      <c r="J43" s="2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81" t="s">
        <v>76</v>
      </c>
      <c r="B44" s="182"/>
      <c r="C44" s="182"/>
      <c r="D44" s="182"/>
      <c r="E44" s="182"/>
      <c r="F44" s="180"/>
      <c r="G44" s="27">
        <f>SUM(G20:G23)</f>
        <v>3964000</v>
      </c>
      <c r="H44" s="28"/>
      <c r="I44" s="27">
        <f>SUM(I20:Y23)</f>
        <v>3964000</v>
      </c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34"/>
      <c r="B45" s="34"/>
      <c r="C45" s="34"/>
      <c r="D45" s="34"/>
      <c r="E45" s="34"/>
      <c r="F45" s="34"/>
      <c r="G45" s="35"/>
      <c r="H45" s="35"/>
      <c r="I45" s="35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78" t="s">
        <v>77</v>
      </c>
      <c r="B47" s="156"/>
      <c r="C47" s="178"/>
      <c r="D47" s="156"/>
      <c r="E47" s="178"/>
      <c r="F47" s="156"/>
      <c r="G47" s="178" t="s">
        <v>78</v>
      </c>
      <c r="H47" s="156"/>
      <c r="I47" s="156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29"/>
      <c r="B48" s="29"/>
      <c r="C48" s="29"/>
      <c r="D48" s="30"/>
      <c r="E48" s="29"/>
      <c r="F48" s="30"/>
      <c r="G48" s="29"/>
      <c r="H48" s="30"/>
      <c r="I48" s="30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29"/>
      <c r="B49" s="29"/>
      <c r="C49" s="29"/>
      <c r="D49" s="30"/>
      <c r="E49" s="29"/>
      <c r="F49" s="30"/>
      <c r="G49" s="29"/>
      <c r="H49" s="30"/>
      <c r="I49" s="30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31"/>
      <c r="B50" s="31"/>
      <c r="C50" s="29"/>
      <c r="D50" s="31"/>
      <c r="E50" s="31"/>
      <c r="F50" s="31"/>
      <c r="G50" s="31"/>
      <c r="H50" s="31"/>
      <c r="I50" s="31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31"/>
      <c r="B51" s="31"/>
      <c r="C51" s="29"/>
      <c r="D51" s="31"/>
      <c r="E51" s="31"/>
      <c r="F51" s="31"/>
      <c r="G51" s="31"/>
      <c r="H51" s="31"/>
      <c r="I51" s="31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78" t="s">
        <v>41</v>
      </c>
      <c r="B52" s="156"/>
      <c r="C52" s="178"/>
      <c r="D52" s="156"/>
      <c r="E52" s="178"/>
      <c r="F52" s="156"/>
      <c r="G52" s="178" t="s">
        <v>80</v>
      </c>
      <c r="H52" s="156"/>
      <c r="I52" s="156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5.75" customHeight="1"/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D22:E22"/>
    <mergeCell ref="D23:E23"/>
    <mergeCell ref="D24:E24"/>
    <mergeCell ref="D25:E25"/>
    <mergeCell ref="A15:B15"/>
    <mergeCell ref="A16:B16"/>
    <mergeCell ref="D19:E19"/>
    <mergeCell ref="D20:E20"/>
    <mergeCell ref="D21:E21"/>
    <mergeCell ref="A9:B9"/>
    <mergeCell ref="C9:E9"/>
    <mergeCell ref="F9:G9"/>
    <mergeCell ref="H9:I9"/>
    <mergeCell ref="A10:B10"/>
    <mergeCell ref="F10:G10"/>
    <mergeCell ref="H10:I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  <mergeCell ref="G47:I47"/>
    <mergeCell ref="A52:B52"/>
    <mergeCell ref="C52:D52"/>
    <mergeCell ref="E52:F52"/>
    <mergeCell ref="G52:I52"/>
    <mergeCell ref="A47:B47"/>
    <mergeCell ref="C47:D47"/>
    <mergeCell ref="D36:E36"/>
    <mergeCell ref="D37:E37"/>
    <mergeCell ref="D38:E38"/>
    <mergeCell ref="D39:E39"/>
    <mergeCell ref="E47:F47"/>
    <mergeCell ref="D40:E40"/>
    <mergeCell ref="D41:E41"/>
    <mergeCell ref="D42:E42"/>
    <mergeCell ref="D43:E43"/>
    <mergeCell ref="A44:F44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F17:G17"/>
    <mergeCell ref="H17:I17"/>
    <mergeCell ref="C15:E15"/>
    <mergeCell ref="F15:G15"/>
    <mergeCell ref="H15:I15"/>
    <mergeCell ref="C16:E16"/>
    <mergeCell ref="F16:G16"/>
    <mergeCell ref="H16:I16"/>
    <mergeCell ref="D17:E17"/>
    <mergeCell ref="A12:B12"/>
    <mergeCell ref="C13:E13"/>
    <mergeCell ref="F13:G13"/>
    <mergeCell ref="H13:I13"/>
    <mergeCell ref="D14:E14"/>
    <mergeCell ref="F14:G14"/>
    <mergeCell ref="H14:I14"/>
    <mergeCell ref="A13:B13"/>
    <mergeCell ref="C10:E10"/>
    <mergeCell ref="D11:E11"/>
    <mergeCell ref="F11:G11"/>
    <mergeCell ref="H11:I11"/>
    <mergeCell ref="C12:E12"/>
    <mergeCell ref="F12:G12"/>
    <mergeCell ref="H12:I1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45922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72" t="s">
        <v>46</v>
      </c>
      <c r="B6" s="146"/>
      <c r="C6" s="172" t="s">
        <v>126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172" t="s">
        <v>49</v>
      </c>
      <c r="B7" s="146"/>
      <c r="C7" s="172" t="s">
        <v>127</v>
      </c>
      <c r="D7" s="145"/>
      <c r="E7" s="146"/>
      <c r="F7" s="175" t="s">
        <v>51</v>
      </c>
      <c r="G7" s="146"/>
      <c r="H7" s="174">
        <v>45922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7" t="s">
        <v>52</v>
      </c>
      <c r="B8" s="17" t="s">
        <v>10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72" t="s">
        <v>46</v>
      </c>
      <c r="B9" s="146"/>
      <c r="C9" s="172" t="s">
        <v>128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172" t="s">
        <v>49</v>
      </c>
      <c r="B10" s="146"/>
      <c r="C10" s="172" t="s">
        <v>129</v>
      </c>
      <c r="D10" s="145"/>
      <c r="E10" s="146"/>
      <c r="F10" s="175" t="s">
        <v>51</v>
      </c>
      <c r="G10" s="146"/>
      <c r="H10" s="174">
        <v>45922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7" t="s">
        <v>52</v>
      </c>
      <c r="B11" s="17" t="s">
        <v>10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hidden="1" customHeight="1">
      <c r="A12" s="172" t="s">
        <v>46</v>
      </c>
      <c r="B12" s="146"/>
      <c r="C12" s="172" t="s">
        <v>119</v>
      </c>
      <c r="D12" s="145"/>
      <c r="E12" s="146"/>
      <c r="F12" s="172" t="s">
        <v>14</v>
      </c>
      <c r="G12" s="146"/>
      <c r="H12" s="173" t="s">
        <v>48</v>
      </c>
      <c r="I12" s="146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hidden="1" customHeight="1">
      <c r="A13" s="172" t="s">
        <v>49</v>
      </c>
      <c r="B13" s="146"/>
      <c r="C13" s="172" t="s">
        <v>120</v>
      </c>
      <c r="D13" s="145"/>
      <c r="E13" s="146"/>
      <c r="F13" s="175" t="s">
        <v>51</v>
      </c>
      <c r="G13" s="146"/>
      <c r="H13" s="174">
        <v>45906</v>
      </c>
      <c r="I13" s="146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hidden="1" customHeight="1">
      <c r="A14" s="17" t="s">
        <v>52</v>
      </c>
      <c r="B14" s="17" t="s">
        <v>121</v>
      </c>
      <c r="C14" s="17" t="s">
        <v>7</v>
      </c>
      <c r="D14" s="172" t="s">
        <v>54</v>
      </c>
      <c r="E14" s="146"/>
      <c r="F14" s="172" t="s">
        <v>55</v>
      </c>
      <c r="G14" s="146"/>
      <c r="H14" s="173" t="s">
        <v>48</v>
      </c>
      <c r="I14" s="146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hidden="1" customHeight="1">
      <c r="A15" s="172" t="s">
        <v>46</v>
      </c>
      <c r="B15" s="146"/>
      <c r="C15" s="172" t="s">
        <v>84</v>
      </c>
      <c r="D15" s="145"/>
      <c r="E15" s="146"/>
      <c r="F15" s="172" t="s">
        <v>14</v>
      </c>
      <c r="G15" s="146"/>
      <c r="H15" s="173" t="s">
        <v>48</v>
      </c>
      <c r="I15" s="146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hidden="1" customHeight="1">
      <c r="A16" s="172" t="s">
        <v>49</v>
      </c>
      <c r="B16" s="146"/>
      <c r="C16" s="172" t="s">
        <v>85</v>
      </c>
      <c r="D16" s="145"/>
      <c r="E16" s="146"/>
      <c r="F16" s="175" t="s">
        <v>51</v>
      </c>
      <c r="G16" s="146"/>
      <c r="H16" s="174">
        <v>45860</v>
      </c>
      <c r="I16" s="14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hidden="1" customHeight="1">
      <c r="A17" s="17" t="s">
        <v>52</v>
      </c>
      <c r="B17" s="17" t="s">
        <v>53</v>
      </c>
      <c r="C17" s="17" t="s">
        <v>7</v>
      </c>
      <c r="D17" s="172" t="s">
        <v>54</v>
      </c>
      <c r="E17" s="146"/>
      <c r="F17" s="172" t="s">
        <v>55</v>
      </c>
      <c r="G17" s="146"/>
      <c r="H17" s="173" t="s">
        <v>48</v>
      </c>
      <c r="I17" s="146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8"/>
      <c r="B18" s="19"/>
      <c r="C18" s="20"/>
      <c r="D18" s="19"/>
      <c r="E18" s="19"/>
      <c r="F18" s="19"/>
      <c r="G18" s="19"/>
      <c r="H18" s="19"/>
      <c r="I18" s="1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1" t="s">
        <v>56</v>
      </c>
      <c r="B19" s="21" t="s">
        <v>57</v>
      </c>
      <c r="C19" s="21" t="s">
        <v>17</v>
      </c>
      <c r="D19" s="176" t="s">
        <v>58</v>
      </c>
      <c r="E19" s="146"/>
      <c r="F19" s="21" t="s">
        <v>59</v>
      </c>
      <c r="G19" s="21" t="s">
        <v>16</v>
      </c>
      <c r="H19" s="21" t="s">
        <v>60</v>
      </c>
      <c r="I19" s="21" t="s">
        <v>61</v>
      </c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1">
        <v>1</v>
      </c>
      <c r="B20" s="22"/>
      <c r="C20" s="21"/>
      <c r="D20" s="173" t="s">
        <v>140</v>
      </c>
      <c r="E20" s="146"/>
      <c r="F20" s="21"/>
      <c r="G20" s="23">
        <v>150000</v>
      </c>
      <c r="H20" s="17"/>
      <c r="I20" s="23">
        <f t="shared" ref="I20:I30" si="0">G20</f>
        <v>150000</v>
      </c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6">
        <v>2</v>
      </c>
      <c r="B21" s="25"/>
      <c r="C21" s="26"/>
      <c r="D21" s="173" t="s">
        <v>141</v>
      </c>
      <c r="E21" s="146"/>
      <c r="F21" s="26"/>
      <c r="G21" s="23">
        <f>4*150000*3</f>
        <v>1800000</v>
      </c>
      <c r="H21" s="17"/>
      <c r="I21" s="23">
        <f t="shared" si="0"/>
        <v>1800000</v>
      </c>
      <c r="J21" s="2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1">
        <v>3</v>
      </c>
      <c r="B22" s="25">
        <v>45916</v>
      </c>
      <c r="C22" s="32" t="s">
        <v>142</v>
      </c>
      <c r="D22" s="173" t="s">
        <v>164</v>
      </c>
      <c r="E22" s="146"/>
      <c r="F22" s="26"/>
      <c r="G22" s="23">
        <v>1350000</v>
      </c>
      <c r="H22" s="17"/>
      <c r="I22" s="23">
        <f t="shared" si="0"/>
        <v>1350000</v>
      </c>
      <c r="J22" s="2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26">
        <v>4</v>
      </c>
      <c r="B23" s="25">
        <v>45916</v>
      </c>
      <c r="C23" s="32" t="s">
        <v>144</v>
      </c>
      <c r="D23" s="173" t="s">
        <v>145</v>
      </c>
      <c r="E23" s="146"/>
      <c r="F23" s="26"/>
      <c r="G23" s="23">
        <v>864000</v>
      </c>
      <c r="H23" s="17"/>
      <c r="I23" s="23">
        <f t="shared" si="0"/>
        <v>864000</v>
      </c>
      <c r="J23" s="2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21"/>
      <c r="B24" s="25"/>
      <c r="C24" s="26"/>
      <c r="D24" s="179" t="s">
        <v>132</v>
      </c>
      <c r="E24" s="180"/>
      <c r="F24" s="26"/>
      <c r="G24" s="23">
        <f>120000*3</f>
        <v>360000</v>
      </c>
      <c r="H24" s="17"/>
      <c r="I24" s="23">
        <f t="shared" si="0"/>
        <v>360000</v>
      </c>
      <c r="J24" s="2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26"/>
      <c r="B25" s="25"/>
      <c r="C25" s="26"/>
      <c r="D25" s="179" t="s">
        <v>133</v>
      </c>
      <c r="E25" s="180"/>
      <c r="F25" s="26"/>
      <c r="G25" s="23">
        <f>300000*3</f>
        <v>900000</v>
      </c>
      <c r="H25" s="17"/>
      <c r="I25" s="23">
        <f t="shared" si="0"/>
        <v>900000</v>
      </c>
      <c r="J25" s="2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21"/>
      <c r="B26" s="25"/>
      <c r="C26" s="26"/>
      <c r="D26" s="179" t="s">
        <v>134</v>
      </c>
      <c r="E26" s="180"/>
      <c r="F26" s="26"/>
      <c r="G26" s="23">
        <f>150000*3</f>
        <v>450000</v>
      </c>
      <c r="H26" s="17"/>
      <c r="I26" s="23">
        <f t="shared" si="0"/>
        <v>450000</v>
      </c>
      <c r="J26" s="2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26"/>
      <c r="B27" s="25"/>
      <c r="C27" s="26"/>
      <c r="D27" s="179" t="s">
        <v>135</v>
      </c>
      <c r="E27" s="180"/>
      <c r="F27" s="26"/>
      <c r="G27" s="23">
        <f>350000*3</f>
        <v>1050000</v>
      </c>
      <c r="H27" s="17"/>
      <c r="I27" s="23">
        <f t="shared" si="0"/>
        <v>1050000</v>
      </c>
      <c r="J27" s="2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21"/>
      <c r="B28" s="25"/>
      <c r="C28" s="26"/>
      <c r="D28" s="179" t="s">
        <v>136</v>
      </c>
      <c r="E28" s="180"/>
      <c r="F28" s="26"/>
      <c r="G28" s="23">
        <f>250000*3</f>
        <v>750000</v>
      </c>
      <c r="H28" s="17"/>
      <c r="I28" s="23">
        <f t="shared" si="0"/>
        <v>750000</v>
      </c>
      <c r="J28" s="2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26"/>
      <c r="B29" s="25"/>
      <c r="C29" s="26"/>
      <c r="D29" s="179" t="s">
        <v>137</v>
      </c>
      <c r="E29" s="180"/>
      <c r="F29" s="26"/>
      <c r="G29" s="23">
        <f>140000*3</f>
        <v>420000</v>
      </c>
      <c r="H29" s="17"/>
      <c r="I29" s="23">
        <f t="shared" si="0"/>
        <v>420000</v>
      </c>
      <c r="J29" s="2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21"/>
      <c r="B30" s="25"/>
      <c r="C30" s="26"/>
      <c r="D30" s="179" t="s">
        <v>138</v>
      </c>
      <c r="E30" s="180"/>
      <c r="F30" s="26"/>
      <c r="G30" s="23">
        <f>300000*3</f>
        <v>900000</v>
      </c>
      <c r="H30" s="17"/>
      <c r="I30" s="23">
        <f t="shared" si="0"/>
        <v>900000</v>
      </c>
      <c r="J30" s="2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81"/>
      <c r="B31" s="182"/>
      <c r="C31" s="182"/>
      <c r="D31" s="182"/>
      <c r="E31" s="182"/>
      <c r="F31" s="180"/>
      <c r="G31" s="28"/>
      <c r="H31" s="28"/>
      <c r="I31" s="27">
        <f>SUM(I20:I30)</f>
        <v>8994000</v>
      </c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34"/>
      <c r="B32" s="34"/>
      <c r="C32" s="34"/>
      <c r="D32" s="34"/>
      <c r="E32" s="34"/>
      <c r="F32" s="34"/>
      <c r="G32" s="35"/>
      <c r="H32" s="35"/>
      <c r="I32" s="35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78" t="s">
        <v>77</v>
      </c>
      <c r="B34" s="156"/>
      <c r="C34" s="178"/>
      <c r="D34" s="156"/>
      <c r="E34" s="178"/>
      <c r="F34" s="156"/>
      <c r="G34" s="178" t="s">
        <v>78</v>
      </c>
      <c r="H34" s="156"/>
      <c r="I34" s="156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29"/>
      <c r="B35" s="29"/>
      <c r="C35" s="29"/>
      <c r="D35" s="30"/>
      <c r="E35" s="29"/>
      <c r="F35" s="30"/>
      <c r="G35" s="29"/>
      <c r="H35" s="30"/>
      <c r="I35" s="30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29"/>
      <c r="B36" s="29"/>
      <c r="C36" s="29"/>
      <c r="D36" s="30"/>
      <c r="E36" s="29"/>
      <c r="F36" s="30"/>
      <c r="G36" s="29"/>
      <c r="H36" s="30"/>
      <c r="I36" s="30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31"/>
      <c r="B37" s="31"/>
      <c r="C37" s="29"/>
      <c r="D37" s="31"/>
      <c r="E37" s="31"/>
      <c r="F37" s="31"/>
      <c r="G37" s="31"/>
      <c r="H37" s="31"/>
      <c r="I37" s="31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31"/>
      <c r="B38" s="31"/>
      <c r="C38" s="29"/>
      <c r="D38" s="31"/>
      <c r="E38" s="31"/>
      <c r="F38" s="31"/>
      <c r="G38" s="31"/>
      <c r="H38" s="31"/>
      <c r="I38" s="31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78" t="s">
        <v>41</v>
      </c>
      <c r="B39" s="156"/>
      <c r="C39" s="178"/>
      <c r="D39" s="156"/>
      <c r="E39" s="178"/>
      <c r="F39" s="156"/>
      <c r="G39" s="178" t="s">
        <v>80</v>
      </c>
      <c r="H39" s="156"/>
      <c r="I39" s="156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3:E23"/>
    <mergeCell ref="D24:E24"/>
    <mergeCell ref="D25:E25"/>
    <mergeCell ref="A16:B16"/>
    <mergeCell ref="D19:E19"/>
    <mergeCell ref="D20:E20"/>
    <mergeCell ref="D21:E21"/>
    <mergeCell ref="D22:E22"/>
    <mergeCell ref="A10:B10"/>
    <mergeCell ref="F10:G10"/>
    <mergeCell ref="H10:I10"/>
    <mergeCell ref="A13:B13"/>
    <mergeCell ref="A15:B15"/>
    <mergeCell ref="D8:E8"/>
    <mergeCell ref="F8:G8"/>
    <mergeCell ref="H8:I8"/>
    <mergeCell ref="A9:B9"/>
    <mergeCell ref="C9:E9"/>
    <mergeCell ref="F9:G9"/>
    <mergeCell ref="H9:I9"/>
    <mergeCell ref="H5:I5"/>
    <mergeCell ref="A6:B6"/>
    <mergeCell ref="C6:E6"/>
    <mergeCell ref="A7:B7"/>
    <mergeCell ref="C7:E7"/>
    <mergeCell ref="F7:G7"/>
    <mergeCell ref="H7:I7"/>
    <mergeCell ref="A31:F31"/>
    <mergeCell ref="A34:B34"/>
    <mergeCell ref="A1:I1"/>
    <mergeCell ref="H2:I2"/>
    <mergeCell ref="A3:B3"/>
    <mergeCell ref="C3:E3"/>
    <mergeCell ref="F3:G3"/>
    <mergeCell ref="H3:I3"/>
    <mergeCell ref="A4:B4"/>
    <mergeCell ref="H4:I4"/>
    <mergeCell ref="F6:G6"/>
    <mergeCell ref="H6:I6"/>
    <mergeCell ref="C4:E4"/>
    <mergeCell ref="F4:G4"/>
    <mergeCell ref="D5:E5"/>
    <mergeCell ref="F5:G5"/>
    <mergeCell ref="D26:E26"/>
    <mergeCell ref="D27:E27"/>
    <mergeCell ref="D28:E28"/>
    <mergeCell ref="D29:E29"/>
    <mergeCell ref="D30:E30"/>
    <mergeCell ref="C34:D34"/>
    <mergeCell ref="E34:F34"/>
    <mergeCell ref="G34:I34"/>
    <mergeCell ref="A39:B39"/>
    <mergeCell ref="C39:D39"/>
    <mergeCell ref="E39:F39"/>
    <mergeCell ref="G39:I39"/>
    <mergeCell ref="F17:G17"/>
    <mergeCell ref="H17:I17"/>
    <mergeCell ref="C15:E15"/>
    <mergeCell ref="F15:G15"/>
    <mergeCell ref="H15:I15"/>
    <mergeCell ref="C16:E16"/>
    <mergeCell ref="F16:G16"/>
    <mergeCell ref="H16:I16"/>
    <mergeCell ref="D17:E17"/>
    <mergeCell ref="A12:B12"/>
    <mergeCell ref="C13:E13"/>
    <mergeCell ref="F13:G13"/>
    <mergeCell ref="H13:I13"/>
    <mergeCell ref="D14:E14"/>
    <mergeCell ref="F14:G14"/>
    <mergeCell ref="H14:I14"/>
    <mergeCell ref="C10:E10"/>
    <mergeCell ref="D11:E11"/>
    <mergeCell ref="F11:G11"/>
    <mergeCell ref="H11:I11"/>
    <mergeCell ref="C12:E12"/>
    <mergeCell ref="F12:G12"/>
    <mergeCell ref="H12:I1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45922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hidden="1" customHeight="1">
      <c r="A6" s="172" t="s">
        <v>46</v>
      </c>
      <c r="B6" s="146"/>
      <c r="C6" s="172" t="s">
        <v>119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hidden="1" customHeight="1">
      <c r="A7" s="172" t="s">
        <v>49</v>
      </c>
      <c r="B7" s="146"/>
      <c r="C7" s="172" t="s">
        <v>120</v>
      </c>
      <c r="D7" s="145"/>
      <c r="E7" s="146"/>
      <c r="F7" s="175" t="s">
        <v>51</v>
      </c>
      <c r="G7" s="146"/>
      <c r="H7" s="174">
        <v>45906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hidden="1" customHeight="1">
      <c r="A8" s="17" t="s">
        <v>52</v>
      </c>
      <c r="B8" s="17" t="s">
        <v>121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hidden="1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hidden="1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45860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hidden="1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"/>
      <c r="B12" s="19"/>
      <c r="C12" s="20"/>
      <c r="D12" s="19"/>
      <c r="E12" s="19"/>
      <c r="F12" s="19"/>
      <c r="G12" s="19"/>
      <c r="H12" s="19"/>
      <c r="I12" s="19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1" t="s">
        <v>56</v>
      </c>
      <c r="B13" s="21" t="s">
        <v>57</v>
      </c>
      <c r="C13" s="21" t="s">
        <v>17</v>
      </c>
      <c r="D13" s="176" t="s">
        <v>58</v>
      </c>
      <c r="E13" s="146"/>
      <c r="F13" s="21" t="s">
        <v>59</v>
      </c>
      <c r="G13" s="21" t="s">
        <v>16</v>
      </c>
      <c r="H13" s="21" t="s">
        <v>60</v>
      </c>
      <c r="I13" s="21" t="s">
        <v>61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1</v>
      </c>
      <c r="B14" s="22">
        <v>45918</v>
      </c>
      <c r="C14" s="21">
        <v>2</v>
      </c>
      <c r="D14" s="173" t="s">
        <v>124</v>
      </c>
      <c r="E14" s="146"/>
      <c r="F14" s="21"/>
      <c r="G14" s="23">
        <v>1050000</v>
      </c>
      <c r="H14" s="17"/>
      <c r="I14" s="23">
        <f t="shared" ref="I14:I16" si="0">G14</f>
        <v>1050000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6">
        <v>2</v>
      </c>
      <c r="B15" s="25"/>
      <c r="C15" s="26"/>
      <c r="D15" s="173" t="s">
        <v>125</v>
      </c>
      <c r="E15" s="146"/>
      <c r="F15" s="26"/>
      <c r="G15" s="23">
        <v>450000</v>
      </c>
      <c r="H15" s="17"/>
      <c r="I15" s="23">
        <f t="shared" si="0"/>
        <v>450000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26">
        <v>3</v>
      </c>
      <c r="B16" s="25">
        <v>45919</v>
      </c>
      <c r="C16" s="26">
        <v>35423969</v>
      </c>
      <c r="D16" s="179" t="s">
        <v>165</v>
      </c>
      <c r="E16" s="180"/>
      <c r="F16" s="26"/>
      <c r="G16" s="23">
        <v>182000</v>
      </c>
      <c r="H16" s="17"/>
      <c r="I16" s="23">
        <f t="shared" si="0"/>
        <v>182000</v>
      </c>
      <c r="J16" s="2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181" t="s">
        <v>76</v>
      </c>
      <c r="B17" s="182"/>
      <c r="C17" s="182"/>
      <c r="D17" s="182"/>
      <c r="E17" s="182"/>
      <c r="F17" s="180"/>
      <c r="G17" s="27">
        <f>SUM(G14:G16)</f>
        <v>1682000</v>
      </c>
      <c r="H17" s="28"/>
      <c r="I17" s="27">
        <f>SUM(I14:I16)</f>
        <v>1682000</v>
      </c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34"/>
      <c r="B18" s="34"/>
      <c r="C18" s="34"/>
      <c r="D18" s="34"/>
      <c r="E18" s="34"/>
      <c r="F18" s="34"/>
      <c r="G18" s="35"/>
      <c r="H18" s="35"/>
      <c r="I18" s="35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78" t="s">
        <v>77</v>
      </c>
      <c r="B20" s="156"/>
      <c r="C20" s="178"/>
      <c r="D20" s="156"/>
      <c r="E20" s="178"/>
      <c r="F20" s="156"/>
      <c r="G20" s="178" t="s">
        <v>78</v>
      </c>
      <c r="H20" s="156"/>
      <c r="I20" s="156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9"/>
      <c r="B21" s="29"/>
      <c r="C21" s="29"/>
      <c r="D21" s="30"/>
      <c r="E21" s="29"/>
      <c r="F21" s="30"/>
      <c r="G21" s="29"/>
      <c r="H21" s="30"/>
      <c r="I21" s="30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29"/>
      <c r="B22" s="29"/>
      <c r="C22" s="29"/>
      <c r="D22" s="30"/>
      <c r="E22" s="29"/>
      <c r="F22" s="30"/>
      <c r="G22" s="29"/>
      <c r="H22" s="30"/>
      <c r="I22" s="30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31"/>
      <c r="B23" s="31"/>
      <c r="C23" s="29"/>
      <c r="D23" s="31"/>
      <c r="E23" s="31"/>
      <c r="F23" s="31"/>
      <c r="G23" s="31"/>
      <c r="H23" s="31"/>
      <c r="I23" s="31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31"/>
      <c r="B24" s="31"/>
      <c r="C24" s="29"/>
      <c r="D24" s="31"/>
      <c r="E24" s="31"/>
      <c r="F24" s="31"/>
      <c r="G24" s="31"/>
      <c r="H24" s="31"/>
      <c r="I24" s="31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78" t="s">
        <v>41</v>
      </c>
      <c r="B25" s="156"/>
      <c r="C25" s="178"/>
      <c r="D25" s="156"/>
      <c r="E25" s="178"/>
      <c r="F25" s="156"/>
      <c r="G25" s="178" t="s">
        <v>80</v>
      </c>
      <c r="H25" s="156"/>
      <c r="I25" s="156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G20:I20"/>
    <mergeCell ref="A25:B25"/>
    <mergeCell ref="G25:I25"/>
    <mergeCell ref="D15:E15"/>
    <mergeCell ref="C25:D25"/>
    <mergeCell ref="E25:F25"/>
    <mergeCell ref="D16:E16"/>
    <mergeCell ref="A17:F17"/>
    <mergeCell ref="A20:B20"/>
    <mergeCell ref="C20:D20"/>
    <mergeCell ref="E20:F20"/>
    <mergeCell ref="D11:E11"/>
    <mergeCell ref="F11:G11"/>
    <mergeCell ref="H11:I11"/>
    <mergeCell ref="D13:E13"/>
    <mergeCell ref="D14:E14"/>
    <mergeCell ref="A9:B9"/>
    <mergeCell ref="C9:E9"/>
    <mergeCell ref="F9:G9"/>
    <mergeCell ref="H9:I9"/>
    <mergeCell ref="A10:B10"/>
    <mergeCell ref="F10:G10"/>
    <mergeCell ref="H10:I10"/>
    <mergeCell ref="C10:E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80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12</v>
      </c>
      <c r="D4" s="145"/>
      <c r="E4" s="146"/>
      <c r="F4" s="175" t="s">
        <v>51</v>
      </c>
      <c r="G4" s="146"/>
      <c r="H4" s="174">
        <v>45906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10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72" t="s">
        <v>46</v>
      </c>
      <c r="B6" s="146"/>
      <c r="C6" s="172" t="s">
        <v>119</v>
      </c>
      <c r="D6" s="145"/>
      <c r="E6" s="146"/>
      <c r="F6" s="172" t="s">
        <v>14</v>
      </c>
      <c r="G6" s="146"/>
      <c r="H6" s="173" t="s">
        <v>48</v>
      </c>
      <c r="I6" s="146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172" t="s">
        <v>49</v>
      </c>
      <c r="B7" s="146"/>
      <c r="C7" s="172" t="s">
        <v>120</v>
      </c>
      <c r="D7" s="145"/>
      <c r="E7" s="146"/>
      <c r="F7" s="175" t="s">
        <v>51</v>
      </c>
      <c r="G7" s="146"/>
      <c r="H7" s="174">
        <v>45906</v>
      </c>
      <c r="I7" s="14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17" t="s">
        <v>52</v>
      </c>
      <c r="B8" s="17" t="s">
        <v>121</v>
      </c>
      <c r="C8" s="17" t="s">
        <v>7</v>
      </c>
      <c r="D8" s="172" t="s">
        <v>54</v>
      </c>
      <c r="E8" s="146"/>
      <c r="F8" s="172" t="s">
        <v>55</v>
      </c>
      <c r="G8" s="146"/>
      <c r="H8" s="173" t="s">
        <v>48</v>
      </c>
      <c r="I8" s="14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hidden="1" customHeight="1">
      <c r="A9" s="172" t="s">
        <v>46</v>
      </c>
      <c r="B9" s="146"/>
      <c r="C9" s="172" t="s">
        <v>84</v>
      </c>
      <c r="D9" s="145"/>
      <c r="E9" s="146"/>
      <c r="F9" s="172" t="s">
        <v>14</v>
      </c>
      <c r="G9" s="146"/>
      <c r="H9" s="173" t="s">
        <v>48</v>
      </c>
      <c r="I9" s="14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hidden="1" customHeight="1">
      <c r="A10" s="172" t="s">
        <v>49</v>
      </c>
      <c r="B10" s="146"/>
      <c r="C10" s="172" t="s">
        <v>85</v>
      </c>
      <c r="D10" s="145"/>
      <c r="E10" s="146"/>
      <c r="F10" s="175" t="s">
        <v>51</v>
      </c>
      <c r="G10" s="146"/>
      <c r="H10" s="174">
        <v>45860</v>
      </c>
      <c r="I10" s="14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hidden="1" customHeight="1">
      <c r="A11" s="17" t="s">
        <v>52</v>
      </c>
      <c r="B11" s="17" t="s">
        <v>53</v>
      </c>
      <c r="C11" s="17" t="s">
        <v>7</v>
      </c>
      <c r="D11" s="172" t="s">
        <v>54</v>
      </c>
      <c r="E11" s="146"/>
      <c r="F11" s="172" t="s">
        <v>55</v>
      </c>
      <c r="G11" s="146"/>
      <c r="H11" s="173" t="s">
        <v>48</v>
      </c>
      <c r="I11" s="14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18"/>
      <c r="B12" s="19"/>
      <c r="C12" s="20"/>
      <c r="D12" s="19"/>
      <c r="E12" s="19"/>
      <c r="F12" s="19"/>
      <c r="G12" s="19"/>
      <c r="H12" s="19"/>
      <c r="I12" s="19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1" t="s">
        <v>56</v>
      </c>
      <c r="B13" s="21" t="s">
        <v>57</v>
      </c>
      <c r="C13" s="21" t="s">
        <v>17</v>
      </c>
      <c r="D13" s="176" t="s">
        <v>58</v>
      </c>
      <c r="E13" s="146"/>
      <c r="F13" s="21" t="s">
        <v>59</v>
      </c>
      <c r="G13" s="21" t="s">
        <v>16</v>
      </c>
      <c r="H13" s="21" t="s">
        <v>60</v>
      </c>
      <c r="I13" s="21" t="s">
        <v>61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21">
        <v>1</v>
      </c>
      <c r="B14" s="22">
        <v>45898</v>
      </c>
      <c r="C14" s="21"/>
      <c r="D14" s="173" t="s">
        <v>113</v>
      </c>
      <c r="E14" s="146"/>
      <c r="F14" s="21"/>
      <c r="G14" s="23">
        <v>900000</v>
      </c>
      <c r="H14" s="17"/>
      <c r="I14" s="23">
        <f t="shared" ref="I14:I15" si="0">G14</f>
        <v>900000</v>
      </c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21">
        <v>2</v>
      </c>
      <c r="B15" s="22">
        <v>45900</v>
      </c>
      <c r="C15" s="21"/>
      <c r="D15" s="173" t="s">
        <v>166</v>
      </c>
      <c r="E15" s="146"/>
      <c r="F15" s="21"/>
      <c r="G15" s="23">
        <v>900000</v>
      </c>
      <c r="H15" s="17"/>
      <c r="I15" s="23">
        <f t="shared" si="0"/>
        <v>900000</v>
      </c>
      <c r="J15" s="2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81" t="s">
        <v>76</v>
      </c>
      <c r="B16" s="182"/>
      <c r="C16" s="182"/>
      <c r="D16" s="182"/>
      <c r="E16" s="182"/>
      <c r="F16" s="180"/>
      <c r="G16" s="27">
        <f>SUM(G14:G15)</f>
        <v>1800000</v>
      </c>
      <c r="H16" s="28"/>
      <c r="I16" s="27">
        <f>SUM(I14:I15)</f>
        <v>1800000</v>
      </c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34"/>
      <c r="B17" s="34"/>
      <c r="C17" s="34"/>
      <c r="D17" s="34"/>
      <c r="E17" s="34"/>
      <c r="F17" s="34"/>
      <c r="G17" s="35"/>
      <c r="H17" s="35"/>
      <c r="I17" s="35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78" t="s">
        <v>77</v>
      </c>
      <c r="B19" s="156"/>
      <c r="C19" s="178"/>
      <c r="D19" s="156"/>
      <c r="E19" s="178"/>
      <c r="F19" s="156"/>
      <c r="G19" s="178" t="s">
        <v>78</v>
      </c>
      <c r="H19" s="156"/>
      <c r="I19" s="156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29"/>
      <c r="B20" s="29"/>
      <c r="C20" s="29"/>
      <c r="D20" s="30"/>
      <c r="E20" s="29"/>
      <c r="F20" s="30"/>
      <c r="G20" s="29"/>
      <c r="H20" s="30"/>
      <c r="I20" s="30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29"/>
      <c r="B21" s="29"/>
      <c r="C21" s="29"/>
      <c r="D21" s="30"/>
      <c r="E21" s="29"/>
      <c r="F21" s="30"/>
      <c r="G21" s="29"/>
      <c r="H21" s="30"/>
      <c r="I21" s="30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31"/>
      <c r="B22" s="31"/>
      <c r="C22" s="29"/>
      <c r="D22" s="31"/>
      <c r="E22" s="31"/>
      <c r="F22" s="31"/>
      <c r="G22" s="31"/>
      <c r="H22" s="31"/>
      <c r="I22" s="31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31"/>
      <c r="B23" s="31"/>
      <c r="C23" s="29"/>
      <c r="D23" s="31"/>
      <c r="E23" s="31"/>
      <c r="F23" s="31"/>
      <c r="G23" s="31"/>
      <c r="H23" s="31"/>
      <c r="I23" s="31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78" t="s">
        <v>79</v>
      </c>
      <c r="B24" s="156"/>
      <c r="C24" s="178"/>
      <c r="D24" s="156"/>
      <c r="E24" s="178"/>
      <c r="F24" s="156"/>
      <c r="G24" s="178" t="s">
        <v>80</v>
      </c>
      <c r="H24" s="156"/>
      <c r="I24" s="156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71">
        <f>350000*3</f>
        <v>1050000</v>
      </c>
      <c r="B27" s="71">
        <v>450</v>
      </c>
      <c r="C27" s="71"/>
      <c r="D27" s="71"/>
      <c r="E27" s="71"/>
      <c r="F27" s="71"/>
      <c r="G27" s="71"/>
      <c r="H27" s="71"/>
      <c r="I27" s="7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71"/>
      <c r="B28" s="71">
        <v>300</v>
      </c>
      <c r="C28" s="71"/>
      <c r="D28" s="71"/>
      <c r="E28" s="71"/>
      <c r="F28" s="71"/>
      <c r="G28" s="71"/>
      <c r="H28" s="71"/>
      <c r="I28" s="7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71"/>
      <c r="B29" s="71">
        <v>300</v>
      </c>
      <c r="C29" s="71"/>
      <c r="D29" s="71"/>
      <c r="E29" s="71"/>
      <c r="F29" s="71"/>
      <c r="G29" s="71"/>
      <c r="H29" s="71"/>
      <c r="I29" s="7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71"/>
      <c r="B30" s="71">
        <f>SUM(B27:B29)</f>
        <v>1050</v>
      </c>
      <c r="C30" s="71"/>
      <c r="D30" s="71"/>
      <c r="E30" s="71"/>
      <c r="F30" s="71"/>
      <c r="G30" s="71"/>
      <c r="H30" s="71"/>
      <c r="I30" s="71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D15:E15"/>
    <mergeCell ref="E24:F24"/>
    <mergeCell ref="G24:I24"/>
    <mergeCell ref="A16:F16"/>
    <mergeCell ref="A19:B19"/>
    <mergeCell ref="C19:D19"/>
    <mergeCell ref="E19:F19"/>
    <mergeCell ref="G19:I19"/>
    <mergeCell ref="A24:B24"/>
    <mergeCell ref="C24:D24"/>
    <mergeCell ref="D11:E11"/>
    <mergeCell ref="F11:G11"/>
    <mergeCell ref="H11:I11"/>
    <mergeCell ref="D13:E13"/>
    <mergeCell ref="D14:E14"/>
    <mergeCell ref="A9:B9"/>
    <mergeCell ref="C9:E9"/>
    <mergeCell ref="F9:G9"/>
    <mergeCell ref="H9:I9"/>
    <mergeCell ref="A10:B10"/>
    <mergeCell ref="F10:G10"/>
    <mergeCell ref="H10:I10"/>
    <mergeCell ref="C10:E10"/>
    <mergeCell ref="A7:B7"/>
    <mergeCell ref="C7:E7"/>
    <mergeCell ref="F7:G7"/>
    <mergeCell ref="H7:I7"/>
    <mergeCell ref="D8:E8"/>
    <mergeCell ref="F8:G8"/>
    <mergeCell ref="H8:I8"/>
    <mergeCell ref="A4:B4"/>
    <mergeCell ref="H4:I4"/>
    <mergeCell ref="F6:G6"/>
    <mergeCell ref="H6:I6"/>
    <mergeCell ref="C4:E4"/>
    <mergeCell ref="F4:G4"/>
    <mergeCell ref="D5:E5"/>
    <mergeCell ref="F5:G5"/>
    <mergeCell ref="H5:I5"/>
    <mergeCell ref="A6:B6"/>
    <mergeCell ref="C6:E6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6640625" defaultRowHeight="15" customHeight="1"/>
  <cols>
    <col min="1" max="2" width="5" customWidth="1"/>
    <col min="3" max="3" width="10.88671875" customWidth="1"/>
    <col min="4" max="4" width="12.33203125" customWidth="1"/>
    <col min="5" max="6" width="5" customWidth="1"/>
    <col min="7" max="7" width="14.44140625" customWidth="1"/>
    <col min="8" max="9" width="5" customWidth="1"/>
    <col min="10" max="10" width="10.109375" customWidth="1"/>
    <col min="11" max="11" width="5" customWidth="1"/>
    <col min="12" max="12" width="19.44140625" customWidth="1"/>
    <col min="13" max="15" width="5" customWidth="1"/>
    <col min="16" max="16" width="16.88671875" customWidth="1"/>
    <col min="17" max="26" width="5" customWidth="1"/>
  </cols>
  <sheetData>
    <row r="1" spans="1:26" ht="15.75" customHeight="1">
      <c r="A1" s="72"/>
      <c r="B1" s="197" t="s">
        <v>167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5.75" customHeight="1">
      <c r="A2" s="72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5.75" customHeight="1">
      <c r="A3" s="72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5.75" customHeight="1">
      <c r="A4" s="72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22.5" customHeight="1">
      <c r="A5" s="195" t="s">
        <v>168</v>
      </c>
      <c r="B5" s="145"/>
      <c r="C5" s="145"/>
      <c r="D5" s="146"/>
      <c r="E5" s="195" t="s">
        <v>169</v>
      </c>
      <c r="F5" s="145"/>
      <c r="G5" s="146"/>
      <c r="H5" s="195" t="s">
        <v>170</v>
      </c>
      <c r="I5" s="145"/>
      <c r="J5" s="146"/>
      <c r="K5" s="195" t="s">
        <v>171</v>
      </c>
      <c r="L5" s="146"/>
      <c r="M5" s="195" t="s">
        <v>172</v>
      </c>
      <c r="N5" s="145"/>
      <c r="O5" s="146"/>
      <c r="P5" s="73" t="s">
        <v>173</v>
      </c>
      <c r="Q5" s="74"/>
      <c r="R5" s="72"/>
      <c r="S5" s="72"/>
      <c r="T5" s="72"/>
      <c r="U5" s="72"/>
      <c r="V5" s="72"/>
      <c r="W5" s="72"/>
      <c r="X5" s="72"/>
      <c r="Y5" s="72"/>
      <c r="Z5" s="72"/>
    </row>
    <row r="6" spans="1:26" ht="29.25" customHeight="1">
      <c r="A6" s="195" t="s">
        <v>80</v>
      </c>
      <c r="B6" s="145"/>
      <c r="C6" s="145"/>
      <c r="D6" s="146"/>
      <c r="E6" s="195" t="s">
        <v>54</v>
      </c>
      <c r="F6" s="145"/>
      <c r="G6" s="146"/>
      <c r="H6" s="195" t="s">
        <v>10</v>
      </c>
      <c r="I6" s="145"/>
      <c r="J6" s="146"/>
      <c r="K6" s="195" t="s">
        <v>12</v>
      </c>
      <c r="L6" s="146"/>
      <c r="M6" s="195" t="s">
        <v>174</v>
      </c>
      <c r="N6" s="145"/>
      <c r="O6" s="146"/>
      <c r="P6" s="75">
        <v>45911</v>
      </c>
      <c r="Q6" s="74"/>
      <c r="R6" s="72"/>
      <c r="S6" s="72"/>
      <c r="T6" s="72"/>
      <c r="U6" s="72"/>
      <c r="V6" s="72"/>
      <c r="W6" s="72"/>
      <c r="X6" s="72"/>
      <c r="Y6" s="72"/>
      <c r="Z6" s="72"/>
    </row>
    <row r="7" spans="1:26" ht="30.75" hidden="1" customHeight="1">
      <c r="A7" s="195" t="s">
        <v>128</v>
      </c>
      <c r="B7" s="145"/>
      <c r="C7" s="145"/>
      <c r="D7" s="146"/>
      <c r="E7" s="195" t="s">
        <v>54</v>
      </c>
      <c r="F7" s="145"/>
      <c r="G7" s="146"/>
      <c r="H7" s="195" t="s">
        <v>10</v>
      </c>
      <c r="I7" s="145"/>
      <c r="J7" s="146"/>
      <c r="K7" s="195" t="s">
        <v>129</v>
      </c>
      <c r="L7" s="146"/>
      <c r="M7" s="195" t="s">
        <v>175</v>
      </c>
      <c r="N7" s="145"/>
      <c r="O7" s="146"/>
      <c r="P7" s="75">
        <v>45911</v>
      </c>
      <c r="Q7" s="74"/>
      <c r="R7" s="72"/>
      <c r="S7" s="72"/>
      <c r="T7" s="72"/>
      <c r="U7" s="72"/>
      <c r="V7" s="72"/>
      <c r="W7" s="72"/>
      <c r="X7" s="72"/>
      <c r="Y7" s="72"/>
      <c r="Z7" s="72"/>
    </row>
    <row r="8" spans="1:26" ht="31.5" hidden="1" customHeight="1">
      <c r="A8" s="195" t="s">
        <v>126</v>
      </c>
      <c r="B8" s="145"/>
      <c r="C8" s="145"/>
      <c r="D8" s="146"/>
      <c r="E8" s="196" t="s">
        <v>176</v>
      </c>
      <c r="F8" s="145"/>
      <c r="G8" s="146"/>
      <c r="H8" s="195" t="s">
        <v>10</v>
      </c>
      <c r="I8" s="145"/>
      <c r="J8" s="146"/>
      <c r="K8" s="195" t="s">
        <v>127</v>
      </c>
      <c r="L8" s="146"/>
      <c r="M8" s="195" t="s">
        <v>177</v>
      </c>
      <c r="N8" s="145"/>
      <c r="O8" s="146"/>
      <c r="P8" s="75">
        <v>45911</v>
      </c>
      <c r="Q8" s="74"/>
      <c r="R8" s="72"/>
      <c r="S8" s="72"/>
      <c r="T8" s="72"/>
      <c r="U8" s="72"/>
      <c r="V8" s="72"/>
      <c r="W8" s="72"/>
      <c r="X8" s="72"/>
      <c r="Y8" s="72"/>
      <c r="Z8" s="72"/>
    </row>
    <row r="9" spans="1:26" ht="31.5" customHeight="1">
      <c r="A9" s="198" t="s">
        <v>178</v>
      </c>
      <c r="B9" s="151"/>
      <c r="C9" s="152"/>
      <c r="D9" s="76" t="s">
        <v>179</v>
      </c>
      <c r="E9" s="196" t="s">
        <v>180</v>
      </c>
      <c r="F9" s="145"/>
      <c r="G9" s="146"/>
      <c r="H9" s="76" t="s">
        <v>179</v>
      </c>
      <c r="I9" s="196" t="s">
        <v>181</v>
      </c>
      <c r="J9" s="146"/>
      <c r="K9" s="76" t="s">
        <v>179</v>
      </c>
      <c r="L9" s="196" t="s">
        <v>182</v>
      </c>
      <c r="M9" s="145"/>
      <c r="N9" s="146"/>
      <c r="O9" s="77"/>
      <c r="P9" s="77"/>
      <c r="Q9" s="74"/>
      <c r="R9" s="72"/>
      <c r="S9" s="72"/>
      <c r="T9" s="72"/>
      <c r="U9" s="72"/>
      <c r="V9" s="72"/>
      <c r="W9" s="72"/>
      <c r="X9" s="72"/>
      <c r="Y9" s="72"/>
      <c r="Z9" s="72"/>
    </row>
    <row r="10" spans="1:26" ht="31.5" customHeight="1">
      <c r="A10" s="199"/>
      <c r="B10" s="182"/>
      <c r="C10" s="180"/>
      <c r="D10" s="196" t="s">
        <v>183</v>
      </c>
      <c r="E10" s="145"/>
      <c r="F10" s="145"/>
      <c r="G10" s="146"/>
      <c r="H10" s="195" t="s">
        <v>184</v>
      </c>
      <c r="I10" s="145"/>
      <c r="J10" s="145"/>
      <c r="K10" s="145"/>
      <c r="L10" s="145"/>
      <c r="M10" s="145"/>
      <c r="N10" s="145"/>
      <c r="O10" s="145"/>
      <c r="P10" s="146"/>
      <c r="Q10" s="74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31.5" customHeight="1">
      <c r="A11" s="195" t="s">
        <v>185</v>
      </c>
      <c r="B11" s="145"/>
      <c r="C11" s="146"/>
      <c r="D11" s="195" t="s">
        <v>186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6"/>
      <c r="Q11" s="74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31.5" customHeight="1">
      <c r="A12" s="195" t="s">
        <v>187</v>
      </c>
      <c r="B12" s="145"/>
      <c r="C12" s="146"/>
      <c r="D12" s="196" t="s">
        <v>188</v>
      </c>
      <c r="E12" s="145"/>
      <c r="F12" s="145"/>
      <c r="G12" s="145"/>
      <c r="H12" s="145"/>
      <c r="I12" s="145"/>
      <c r="J12" s="146"/>
      <c r="K12" s="196" t="s">
        <v>189</v>
      </c>
      <c r="L12" s="145"/>
      <c r="M12" s="145"/>
      <c r="N12" s="145"/>
      <c r="O12" s="145"/>
      <c r="P12" s="146"/>
      <c r="Q12" s="74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31.5" customHeight="1">
      <c r="A13" s="198" t="s">
        <v>190</v>
      </c>
      <c r="B13" s="151"/>
      <c r="C13" s="152"/>
      <c r="D13" s="76" t="s">
        <v>179</v>
      </c>
      <c r="E13" s="196" t="s">
        <v>191</v>
      </c>
      <c r="F13" s="145"/>
      <c r="G13" s="146"/>
      <c r="H13" s="76" t="s">
        <v>179</v>
      </c>
      <c r="I13" s="196" t="s">
        <v>192</v>
      </c>
      <c r="J13" s="146"/>
      <c r="K13" s="76" t="s">
        <v>179</v>
      </c>
      <c r="L13" s="196" t="s">
        <v>193</v>
      </c>
      <c r="M13" s="146"/>
      <c r="N13" s="77"/>
      <c r="O13" s="76" t="s">
        <v>179</v>
      </c>
      <c r="P13" s="78" t="s">
        <v>194</v>
      </c>
      <c r="Q13" s="74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31.5" customHeight="1">
      <c r="A14" s="199"/>
      <c r="B14" s="182"/>
      <c r="C14" s="180"/>
      <c r="D14" s="76" t="s">
        <v>179</v>
      </c>
      <c r="E14" s="196" t="s">
        <v>195</v>
      </c>
      <c r="F14" s="146"/>
      <c r="G14" s="78"/>
      <c r="H14" s="76" t="s">
        <v>179</v>
      </c>
      <c r="I14" s="196" t="s">
        <v>196</v>
      </c>
      <c r="J14" s="146"/>
      <c r="K14" s="76" t="s">
        <v>179</v>
      </c>
      <c r="L14" s="196" t="s">
        <v>197</v>
      </c>
      <c r="M14" s="146"/>
      <c r="N14" s="73"/>
      <c r="O14" s="76" t="s">
        <v>179</v>
      </c>
      <c r="P14" s="78" t="s">
        <v>198</v>
      </c>
      <c r="Q14" s="74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31.5" customHeight="1">
      <c r="A15" s="79"/>
      <c r="B15" s="79"/>
      <c r="C15" s="79"/>
      <c r="D15" s="80"/>
      <c r="E15" s="80"/>
      <c r="F15" s="80"/>
      <c r="G15" s="80"/>
      <c r="H15" s="80"/>
      <c r="I15" s="80"/>
      <c r="J15" s="80"/>
      <c r="K15" s="80"/>
      <c r="L15" s="80"/>
      <c r="M15" s="81"/>
      <c r="N15" s="79"/>
      <c r="O15" s="79"/>
      <c r="P15" s="79"/>
      <c r="Q15" s="74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5.75" customHeight="1">
      <c r="A16" s="200" t="s">
        <v>36</v>
      </c>
      <c r="B16" s="156"/>
      <c r="C16" s="156"/>
      <c r="D16" s="156"/>
      <c r="E16" s="200" t="s">
        <v>37</v>
      </c>
      <c r="F16" s="156"/>
      <c r="G16" s="156"/>
      <c r="H16" s="156"/>
      <c r="I16" s="156"/>
      <c r="J16" s="156"/>
      <c r="K16" s="200" t="s">
        <v>39</v>
      </c>
      <c r="L16" s="156"/>
      <c r="M16" s="156"/>
      <c r="N16" s="156"/>
      <c r="O16" s="156"/>
      <c r="P16" s="156"/>
      <c r="Q16" s="74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5.7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74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5.7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74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5.7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74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5.75" customHeight="1">
      <c r="A20" s="200" t="s">
        <v>80</v>
      </c>
      <c r="B20" s="156"/>
      <c r="C20" s="156"/>
      <c r="D20" s="156"/>
      <c r="E20" s="200" t="s">
        <v>79</v>
      </c>
      <c r="F20" s="156"/>
      <c r="G20" s="156"/>
      <c r="H20" s="156"/>
      <c r="I20" s="156"/>
      <c r="J20" s="156"/>
      <c r="K20" s="200"/>
      <c r="L20" s="156"/>
      <c r="M20" s="156"/>
      <c r="N20" s="156"/>
      <c r="O20" s="156"/>
      <c r="P20" s="156"/>
      <c r="Q20" s="74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5.75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5.7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5.7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5.75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5.7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5.7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5.7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5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5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5.7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5.7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5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5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20:D20"/>
    <mergeCell ref="E20:J20"/>
    <mergeCell ref="L13:M13"/>
    <mergeCell ref="L14:M14"/>
    <mergeCell ref="K16:P16"/>
    <mergeCell ref="K20:P20"/>
    <mergeCell ref="A13:C14"/>
    <mergeCell ref="I13:J13"/>
    <mergeCell ref="I14:J14"/>
    <mergeCell ref="D11:P11"/>
    <mergeCell ref="E13:G13"/>
    <mergeCell ref="E14:F14"/>
    <mergeCell ref="A16:D16"/>
    <mergeCell ref="E16:J16"/>
    <mergeCell ref="A11:C11"/>
    <mergeCell ref="A12:C12"/>
    <mergeCell ref="D12:J12"/>
    <mergeCell ref="K12:P12"/>
    <mergeCell ref="A9:C10"/>
    <mergeCell ref="E9:G9"/>
    <mergeCell ref="I9:J9"/>
    <mergeCell ref="D10:G10"/>
    <mergeCell ref="H10:P10"/>
    <mergeCell ref="A7:D7"/>
    <mergeCell ref="E7:G7"/>
    <mergeCell ref="H7:J7"/>
    <mergeCell ref="K7:L7"/>
    <mergeCell ref="K8:L8"/>
    <mergeCell ref="A8:D8"/>
    <mergeCell ref="K6:L6"/>
    <mergeCell ref="M6:O6"/>
    <mergeCell ref="M7:O7"/>
    <mergeCell ref="L9:N9"/>
    <mergeCell ref="B1:P4"/>
    <mergeCell ref="A5:D5"/>
    <mergeCell ref="E5:G5"/>
    <mergeCell ref="H5:J5"/>
    <mergeCell ref="K5:L5"/>
    <mergeCell ref="M5:O5"/>
    <mergeCell ref="A6:D6"/>
    <mergeCell ref="E8:G8"/>
    <mergeCell ref="H8:J8"/>
    <mergeCell ref="M8:O8"/>
    <mergeCell ref="E6:G6"/>
    <mergeCell ref="H6:J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6640625" defaultRowHeight="15" customHeight="1"/>
  <cols>
    <col min="1" max="3" width="5" customWidth="1"/>
    <col min="4" max="4" width="8.109375" customWidth="1"/>
    <col min="5" max="9" width="5" customWidth="1"/>
    <col min="10" max="10" width="10.109375" customWidth="1"/>
    <col min="11" max="11" width="5" customWidth="1"/>
    <col min="12" max="12" width="19.44140625" customWidth="1"/>
    <col min="13" max="15" width="5" customWidth="1"/>
    <col min="16" max="16" width="16.88671875" customWidth="1"/>
    <col min="17" max="26" width="5" customWidth="1"/>
  </cols>
  <sheetData>
    <row r="1" spans="1:26" ht="15.75" customHeight="1">
      <c r="A1" s="14"/>
      <c r="B1" s="197" t="s">
        <v>167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14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4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4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2.5" customHeight="1">
      <c r="A5" s="201" t="s">
        <v>168</v>
      </c>
      <c r="B5" s="145"/>
      <c r="C5" s="145"/>
      <c r="D5" s="146"/>
      <c r="E5" s="201" t="s">
        <v>169</v>
      </c>
      <c r="F5" s="145"/>
      <c r="G5" s="146"/>
      <c r="H5" s="201" t="s">
        <v>170</v>
      </c>
      <c r="I5" s="145"/>
      <c r="J5" s="146"/>
      <c r="K5" s="201" t="s">
        <v>171</v>
      </c>
      <c r="L5" s="146"/>
      <c r="M5" s="201" t="s">
        <v>172</v>
      </c>
      <c r="N5" s="145"/>
      <c r="O5" s="146"/>
      <c r="P5" s="82" t="s">
        <v>173</v>
      </c>
      <c r="Q5" s="30"/>
      <c r="R5" s="14"/>
      <c r="S5" s="14"/>
      <c r="T5" s="14"/>
      <c r="U5" s="14"/>
      <c r="V5" s="14"/>
      <c r="W5" s="14"/>
      <c r="X5" s="14"/>
      <c r="Y5" s="14"/>
      <c r="Z5" s="14"/>
    </row>
    <row r="6" spans="1:26" ht="29.25" customHeight="1">
      <c r="A6" s="201" t="s">
        <v>47</v>
      </c>
      <c r="B6" s="145"/>
      <c r="C6" s="145"/>
      <c r="D6" s="146"/>
      <c r="E6" s="201" t="s">
        <v>54</v>
      </c>
      <c r="F6" s="145"/>
      <c r="G6" s="146"/>
      <c r="H6" s="201" t="s">
        <v>85</v>
      </c>
      <c r="I6" s="145"/>
      <c r="J6" s="146"/>
      <c r="K6" s="201" t="s">
        <v>199</v>
      </c>
      <c r="L6" s="146"/>
      <c r="M6" s="201" t="s">
        <v>174</v>
      </c>
      <c r="N6" s="145"/>
      <c r="O6" s="146"/>
      <c r="P6" s="83">
        <v>45909</v>
      </c>
      <c r="Q6" s="30"/>
      <c r="R6" s="14"/>
      <c r="S6" s="14"/>
      <c r="T6" s="14"/>
      <c r="U6" s="14"/>
      <c r="V6" s="14"/>
      <c r="W6" s="14"/>
      <c r="X6" s="14"/>
      <c r="Y6" s="14"/>
      <c r="Z6" s="14"/>
    </row>
    <row r="7" spans="1:26" ht="31.5" customHeight="1">
      <c r="A7" s="203" t="s">
        <v>178</v>
      </c>
      <c r="B7" s="151"/>
      <c r="C7" s="152"/>
      <c r="D7" s="84" t="s">
        <v>179</v>
      </c>
      <c r="E7" s="202" t="s">
        <v>180</v>
      </c>
      <c r="F7" s="145"/>
      <c r="G7" s="146"/>
      <c r="H7" s="84" t="s">
        <v>179</v>
      </c>
      <c r="I7" s="202" t="s">
        <v>181</v>
      </c>
      <c r="J7" s="146"/>
      <c r="K7" s="84" t="s">
        <v>179</v>
      </c>
      <c r="L7" s="202" t="s">
        <v>182</v>
      </c>
      <c r="M7" s="145"/>
      <c r="N7" s="146"/>
      <c r="O7" s="85"/>
      <c r="P7" s="85"/>
      <c r="Q7" s="30"/>
      <c r="R7" s="14"/>
      <c r="S7" s="14"/>
      <c r="T7" s="14"/>
      <c r="U7" s="14"/>
      <c r="V7" s="14"/>
      <c r="W7" s="14"/>
      <c r="X7" s="14"/>
      <c r="Y7" s="14"/>
      <c r="Z7" s="14"/>
    </row>
    <row r="8" spans="1:26" ht="31.5" customHeight="1">
      <c r="A8" s="199"/>
      <c r="B8" s="182"/>
      <c r="C8" s="180"/>
      <c r="D8" s="202" t="s">
        <v>183</v>
      </c>
      <c r="E8" s="145"/>
      <c r="F8" s="145"/>
      <c r="G8" s="146"/>
      <c r="H8" s="201" t="s">
        <v>184</v>
      </c>
      <c r="I8" s="145"/>
      <c r="J8" s="145"/>
      <c r="K8" s="145"/>
      <c r="L8" s="145"/>
      <c r="M8" s="145"/>
      <c r="N8" s="145"/>
      <c r="O8" s="145"/>
      <c r="P8" s="146"/>
      <c r="Q8" s="30"/>
      <c r="R8" s="14"/>
      <c r="S8" s="14"/>
      <c r="T8" s="14"/>
      <c r="U8" s="14"/>
      <c r="V8" s="14"/>
      <c r="W8" s="14"/>
      <c r="X8" s="14"/>
      <c r="Y8" s="14"/>
      <c r="Z8" s="14"/>
    </row>
    <row r="9" spans="1:26" ht="31.5" customHeight="1">
      <c r="A9" s="201" t="s">
        <v>185</v>
      </c>
      <c r="B9" s="145"/>
      <c r="C9" s="146"/>
      <c r="D9" s="201" t="s">
        <v>186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6"/>
      <c r="Q9" s="30"/>
      <c r="R9" s="14"/>
      <c r="S9" s="14"/>
      <c r="T9" s="14"/>
      <c r="U9" s="14"/>
      <c r="V9" s="14"/>
      <c r="W9" s="14"/>
      <c r="X9" s="14"/>
      <c r="Y9" s="14"/>
      <c r="Z9" s="14"/>
    </row>
    <row r="10" spans="1:26" ht="31.5" customHeight="1">
      <c r="A10" s="201" t="s">
        <v>187</v>
      </c>
      <c r="B10" s="145"/>
      <c r="C10" s="146"/>
      <c r="D10" s="202" t="s">
        <v>200</v>
      </c>
      <c r="E10" s="145"/>
      <c r="F10" s="145"/>
      <c r="G10" s="145"/>
      <c r="H10" s="145"/>
      <c r="I10" s="145"/>
      <c r="J10" s="146"/>
      <c r="K10" s="202" t="s">
        <v>189</v>
      </c>
      <c r="L10" s="145"/>
      <c r="M10" s="145"/>
      <c r="N10" s="145"/>
      <c r="O10" s="145"/>
      <c r="P10" s="146"/>
      <c r="Q10" s="30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31.5" customHeight="1">
      <c r="A11" s="203" t="s">
        <v>190</v>
      </c>
      <c r="B11" s="151"/>
      <c r="C11" s="152"/>
      <c r="D11" s="84" t="s">
        <v>179</v>
      </c>
      <c r="E11" s="202" t="s">
        <v>191</v>
      </c>
      <c r="F11" s="145"/>
      <c r="G11" s="146"/>
      <c r="H11" s="84" t="s">
        <v>179</v>
      </c>
      <c r="I11" s="202" t="s">
        <v>192</v>
      </c>
      <c r="J11" s="146"/>
      <c r="K11" s="84" t="s">
        <v>179</v>
      </c>
      <c r="L11" s="202" t="s">
        <v>193</v>
      </c>
      <c r="M11" s="146"/>
      <c r="N11" s="85"/>
      <c r="O11" s="84" t="s">
        <v>179</v>
      </c>
      <c r="P11" s="86" t="s">
        <v>201</v>
      </c>
      <c r="Q11" s="30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1.5" customHeight="1">
      <c r="A12" s="199"/>
      <c r="B12" s="182"/>
      <c r="C12" s="180"/>
      <c r="D12" s="84" t="s">
        <v>179</v>
      </c>
      <c r="E12" s="202" t="s">
        <v>195</v>
      </c>
      <c r="F12" s="146"/>
      <c r="G12" s="86"/>
      <c r="H12" s="84" t="s">
        <v>179</v>
      </c>
      <c r="I12" s="202" t="s">
        <v>196</v>
      </c>
      <c r="J12" s="146"/>
      <c r="K12" s="84" t="s">
        <v>179</v>
      </c>
      <c r="L12" s="202" t="s">
        <v>197</v>
      </c>
      <c r="M12" s="146"/>
      <c r="N12" s="82"/>
      <c r="O12" s="84" t="s">
        <v>179</v>
      </c>
      <c r="P12" s="86" t="s">
        <v>198</v>
      </c>
      <c r="Q12" s="30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1.5" customHeight="1">
      <c r="A13" s="15"/>
      <c r="B13" s="15"/>
      <c r="C13" s="15"/>
      <c r="D13" s="24"/>
      <c r="E13" s="24"/>
      <c r="F13" s="24"/>
      <c r="G13" s="24"/>
      <c r="H13" s="24"/>
      <c r="I13" s="24"/>
      <c r="J13" s="24"/>
      <c r="K13" s="24"/>
      <c r="L13" s="24"/>
      <c r="M13" s="13"/>
      <c r="N13" s="15"/>
      <c r="O13" s="15"/>
      <c r="P13" s="15"/>
      <c r="Q13" s="30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204" t="s">
        <v>36</v>
      </c>
      <c r="B14" s="156"/>
      <c r="C14" s="156"/>
      <c r="D14" s="156"/>
      <c r="E14" s="204" t="s">
        <v>37</v>
      </c>
      <c r="F14" s="156"/>
      <c r="G14" s="156"/>
      <c r="H14" s="156"/>
      <c r="I14" s="156"/>
      <c r="J14" s="156"/>
      <c r="K14" s="204" t="s">
        <v>39</v>
      </c>
      <c r="L14" s="156"/>
      <c r="M14" s="156"/>
      <c r="N14" s="156"/>
      <c r="O14" s="156"/>
      <c r="P14" s="156"/>
      <c r="Q14" s="30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0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30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0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204" t="s">
        <v>47</v>
      </c>
      <c r="B18" s="156"/>
      <c r="C18" s="156"/>
      <c r="D18" s="156"/>
      <c r="E18" s="204" t="s">
        <v>79</v>
      </c>
      <c r="F18" s="156"/>
      <c r="G18" s="156"/>
      <c r="H18" s="156"/>
      <c r="I18" s="156"/>
      <c r="J18" s="156"/>
      <c r="K18" s="204"/>
      <c r="L18" s="156"/>
      <c r="M18" s="156"/>
      <c r="N18" s="156"/>
      <c r="O18" s="156"/>
      <c r="P18" s="156"/>
      <c r="Q18" s="30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8:D18"/>
    <mergeCell ref="E18:J18"/>
    <mergeCell ref="L11:M11"/>
    <mergeCell ref="L12:M12"/>
    <mergeCell ref="K14:P14"/>
    <mergeCell ref="K18:P18"/>
    <mergeCell ref="A11:C12"/>
    <mergeCell ref="I11:J11"/>
    <mergeCell ref="I12:J12"/>
    <mergeCell ref="D8:G8"/>
    <mergeCell ref="D9:P9"/>
    <mergeCell ref="E11:G11"/>
    <mergeCell ref="E12:F12"/>
    <mergeCell ref="A14:D14"/>
    <mergeCell ref="E14:J14"/>
    <mergeCell ref="A9:C9"/>
    <mergeCell ref="A10:C10"/>
    <mergeCell ref="D10:J10"/>
    <mergeCell ref="K10:P10"/>
    <mergeCell ref="K6:L6"/>
    <mergeCell ref="M6:O6"/>
    <mergeCell ref="L7:N7"/>
    <mergeCell ref="H8:P8"/>
    <mergeCell ref="B1:P4"/>
    <mergeCell ref="A5:D5"/>
    <mergeCell ref="E5:G5"/>
    <mergeCell ref="H5:J5"/>
    <mergeCell ref="K5:L5"/>
    <mergeCell ref="M5:O5"/>
    <mergeCell ref="A6:D6"/>
    <mergeCell ref="E6:G6"/>
    <mergeCell ref="H6:J6"/>
    <mergeCell ref="A7:C8"/>
    <mergeCell ref="E7:G7"/>
    <mergeCell ref="I7:J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H1000"/>
  <sheetViews>
    <sheetView showGridLines="0" workbookViewId="0"/>
  </sheetViews>
  <sheetFormatPr defaultColWidth="12.6640625" defaultRowHeight="15" customHeight="1"/>
  <cols>
    <col min="1" max="1" width="24.21875" customWidth="1"/>
    <col min="2" max="2" width="12.6640625" customWidth="1"/>
    <col min="3" max="3" width="11.44140625" customWidth="1"/>
    <col min="4" max="4" width="12.6640625" customWidth="1"/>
    <col min="5" max="5" width="15.77734375" customWidth="1"/>
    <col min="6" max="6" width="9.109375" customWidth="1"/>
    <col min="7" max="7" width="12.44140625" customWidth="1"/>
    <col min="8" max="8" width="19.21875" customWidth="1"/>
  </cols>
  <sheetData>
    <row r="1" spans="1:8" ht="15.75" customHeight="1">
      <c r="A1" s="205" t="s">
        <v>202</v>
      </c>
      <c r="B1" s="156"/>
      <c r="C1" s="156"/>
      <c r="D1" s="156"/>
      <c r="E1" s="156"/>
      <c r="F1" s="156"/>
      <c r="G1" s="156"/>
      <c r="H1" s="156"/>
    </row>
    <row r="2" spans="1:8" ht="15.75" customHeight="1">
      <c r="A2" s="156"/>
      <c r="B2" s="156"/>
      <c r="C2" s="156"/>
      <c r="D2" s="156"/>
      <c r="E2" s="156"/>
      <c r="F2" s="156"/>
      <c r="G2" s="156"/>
      <c r="H2" s="156"/>
    </row>
    <row r="3" spans="1:8" ht="15.75" customHeight="1">
      <c r="A3" s="156"/>
      <c r="B3" s="156"/>
      <c r="C3" s="156"/>
      <c r="D3" s="156"/>
      <c r="E3" s="156"/>
      <c r="F3" s="156"/>
      <c r="G3" s="156"/>
      <c r="H3" s="156"/>
    </row>
    <row r="4" spans="1:8" ht="15.75" customHeight="1">
      <c r="A4" s="156"/>
      <c r="B4" s="156"/>
      <c r="C4" s="156"/>
      <c r="D4" s="156"/>
      <c r="E4" s="156"/>
      <c r="F4" s="156"/>
      <c r="G4" s="156"/>
      <c r="H4" s="156"/>
    </row>
    <row r="5" spans="1:8" ht="15.75" customHeight="1">
      <c r="A5" s="206" t="s">
        <v>203</v>
      </c>
      <c r="B5" s="156"/>
      <c r="C5" s="156"/>
      <c r="D5" s="156"/>
      <c r="E5" s="156"/>
      <c r="F5" s="156"/>
      <c r="G5" s="156"/>
      <c r="H5" s="156"/>
    </row>
    <row r="6" spans="1:8" ht="15.75" customHeight="1">
      <c r="A6" s="87"/>
      <c r="B6" s="88"/>
      <c r="C6" s="88"/>
      <c r="D6" s="88"/>
      <c r="E6" s="88"/>
      <c r="F6" s="88"/>
      <c r="G6" s="88"/>
      <c r="H6" s="88"/>
    </row>
    <row r="7" spans="1:8" ht="15.75" customHeight="1">
      <c r="A7" s="89" t="s">
        <v>204</v>
      </c>
      <c r="B7" s="89"/>
      <c r="C7" s="89"/>
      <c r="D7" s="89"/>
      <c r="E7" s="207" t="s">
        <v>205</v>
      </c>
      <c r="F7" s="156"/>
      <c r="G7" s="156"/>
      <c r="H7" s="156"/>
    </row>
    <row r="8" spans="1:8" ht="15.75" customHeight="1">
      <c r="A8" s="208" t="s">
        <v>206</v>
      </c>
      <c r="B8" s="156"/>
      <c r="C8" s="156"/>
      <c r="D8" s="156"/>
      <c r="E8" s="156"/>
      <c r="F8" s="156"/>
      <c r="G8" s="156"/>
      <c r="H8" s="156"/>
    </row>
    <row r="9" spans="1:8" ht="15.75" hidden="1" customHeight="1">
      <c r="A9" s="89" t="s">
        <v>207</v>
      </c>
      <c r="B9" s="89"/>
      <c r="C9" s="89"/>
      <c r="D9" s="89"/>
      <c r="E9" s="207" t="s">
        <v>208</v>
      </c>
      <c r="F9" s="156"/>
      <c r="G9" s="156"/>
      <c r="H9" s="156"/>
    </row>
    <row r="10" spans="1:8" ht="15.75" hidden="1" customHeight="1">
      <c r="A10" s="208" t="s">
        <v>206</v>
      </c>
      <c r="B10" s="156"/>
      <c r="C10" s="156"/>
      <c r="D10" s="156"/>
      <c r="E10" s="156"/>
      <c r="F10" s="156"/>
      <c r="G10" s="156"/>
      <c r="H10" s="156"/>
    </row>
    <row r="11" spans="1:8" ht="15.75" customHeight="1">
      <c r="A11" s="208" t="s">
        <v>209</v>
      </c>
      <c r="B11" s="156"/>
      <c r="C11" s="156"/>
      <c r="D11" s="156"/>
      <c r="E11" s="156"/>
      <c r="F11" s="156"/>
      <c r="G11" s="156"/>
      <c r="H11" s="156"/>
    </row>
    <row r="12" spans="1:8" ht="15.75" customHeight="1">
      <c r="A12" s="208" t="s">
        <v>210</v>
      </c>
      <c r="B12" s="156"/>
      <c r="C12" s="156"/>
      <c r="D12" s="156"/>
      <c r="E12" s="156"/>
      <c r="F12" s="156"/>
      <c r="G12" s="88"/>
      <c r="H12" s="88"/>
    </row>
    <row r="13" spans="1:8" ht="15.75" customHeight="1">
      <c r="A13" s="208" t="s">
        <v>211</v>
      </c>
      <c r="B13" s="156"/>
      <c r="C13" s="156"/>
      <c r="D13" s="88"/>
      <c r="E13" s="88"/>
      <c r="F13" s="88"/>
      <c r="G13" s="88"/>
      <c r="H13" s="88"/>
    </row>
    <row r="14" spans="1:8" ht="15.75" customHeight="1">
      <c r="A14" s="89" t="s">
        <v>212</v>
      </c>
      <c r="B14" s="88"/>
      <c r="C14" s="88"/>
      <c r="D14" s="88"/>
      <c r="E14" s="88"/>
      <c r="F14" s="88"/>
      <c r="G14" s="88"/>
      <c r="H14" s="88"/>
    </row>
    <row r="15" spans="1:8" ht="15.75" customHeight="1">
      <c r="A15" s="88"/>
      <c r="B15" s="212" t="s">
        <v>213</v>
      </c>
      <c r="C15" s="156"/>
      <c r="D15" s="156"/>
      <c r="E15" s="156"/>
      <c r="F15" s="156"/>
      <c r="G15" s="156"/>
      <c r="H15" s="156"/>
    </row>
    <row r="16" spans="1:8" ht="15.75" customHeight="1">
      <c r="A16" s="88"/>
      <c r="B16" s="213" t="s">
        <v>214</v>
      </c>
      <c r="C16" s="156"/>
      <c r="D16" s="156"/>
      <c r="E16" s="156"/>
      <c r="F16" s="156"/>
      <c r="G16" s="156"/>
      <c r="H16" s="156"/>
    </row>
    <row r="17" spans="1:8" ht="15.75" customHeight="1">
      <c r="A17" s="88"/>
      <c r="B17" s="214" t="s">
        <v>215</v>
      </c>
      <c r="C17" s="156"/>
      <c r="D17" s="156"/>
      <c r="E17" s="156"/>
      <c r="F17" s="156"/>
      <c r="G17" s="156"/>
      <c r="H17" s="156"/>
    </row>
    <row r="18" spans="1:8" ht="15.75" customHeight="1">
      <c r="A18" s="87"/>
      <c r="B18" s="88"/>
      <c r="C18" s="88"/>
      <c r="D18" s="88"/>
      <c r="E18" s="88"/>
      <c r="F18" s="88"/>
      <c r="G18" s="88"/>
      <c r="H18" s="88"/>
    </row>
    <row r="19" spans="1:8" ht="15.75" customHeight="1">
      <c r="A19" s="87"/>
      <c r="B19" s="88"/>
      <c r="C19" s="88"/>
      <c r="D19" s="88"/>
      <c r="E19" s="88"/>
      <c r="F19" s="88"/>
      <c r="G19" s="88"/>
      <c r="H19" s="88"/>
    </row>
    <row r="20" spans="1:8" ht="15.75" customHeight="1">
      <c r="A20" s="87"/>
      <c r="B20" s="88"/>
      <c r="C20" s="88"/>
      <c r="D20" s="88"/>
      <c r="E20" s="88"/>
      <c r="F20" s="88"/>
      <c r="G20" s="88"/>
      <c r="H20" s="88"/>
    </row>
    <row r="21" spans="1:8" ht="15.75" customHeight="1">
      <c r="A21" s="87"/>
      <c r="B21" s="88"/>
      <c r="C21" s="88"/>
      <c r="D21" s="88"/>
      <c r="E21" s="88"/>
      <c r="F21" s="88"/>
      <c r="G21" s="88"/>
      <c r="H21" s="88"/>
    </row>
    <row r="22" spans="1:8" ht="15.75" customHeight="1">
      <c r="A22" s="87"/>
      <c r="B22" s="88"/>
      <c r="C22" s="88"/>
      <c r="D22" s="88"/>
      <c r="E22" s="88"/>
      <c r="F22" s="88"/>
      <c r="G22" s="88"/>
      <c r="H22" s="88"/>
    </row>
    <row r="23" spans="1:8" ht="15.75" customHeight="1">
      <c r="A23" s="210" t="s">
        <v>216</v>
      </c>
      <c r="B23" s="210" t="s">
        <v>217</v>
      </c>
      <c r="C23" s="210" t="s">
        <v>218</v>
      </c>
      <c r="D23" s="210" t="s">
        <v>219</v>
      </c>
      <c r="E23" s="209" t="s">
        <v>220</v>
      </c>
      <c r="F23" s="146"/>
      <c r="G23" s="210" t="s">
        <v>221</v>
      </c>
      <c r="H23" s="215" t="s">
        <v>222</v>
      </c>
    </row>
    <row r="24" spans="1:8" ht="15.75" customHeight="1">
      <c r="A24" s="211"/>
      <c r="B24" s="211"/>
      <c r="C24" s="211"/>
      <c r="D24" s="211"/>
      <c r="E24" s="90" t="s">
        <v>223</v>
      </c>
      <c r="F24" s="90" t="s">
        <v>224</v>
      </c>
      <c r="G24" s="211"/>
      <c r="H24" s="211"/>
    </row>
    <row r="25" spans="1:8" ht="15.75" customHeight="1">
      <c r="A25" s="91" t="s">
        <v>225</v>
      </c>
      <c r="B25" s="92">
        <v>1</v>
      </c>
      <c r="C25" s="92" t="s">
        <v>226</v>
      </c>
      <c r="D25" s="92">
        <v>2</v>
      </c>
      <c r="E25" s="92">
        <v>3</v>
      </c>
      <c r="F25" s="92">
        <v>4</v>
      </c>
      <c r="G25" s="92" t="s">
        <v>227</v>
      </c>
      <c r="H25" s="92" t="s">
        <v>228</v>
      </c>
    </row>
    <row r="26" spans="1:8" ht="15.75" customHeight="1">
      <c r="A26" s="93" t="s">
        <v>229</v>
      </c>
      <c r="B26" s="218">
        <v>45838</v>
      </c>
      <c r="C26" s="219" t="s">
        <v>230</v>
      </c>
      <c r="D26" s="216"/>
      <c r="E26" s="216"/>
      <c r="F26" s="216"/>
      <c r="G26" s="216"/>
      <c r="H26" s="216"/>
    </row>
    <row r="27" spans="1:8" ht="15.75" customHeight="1">
      <c r="A27" s="94"/>
      <c r="B27" s="217"/>
      <c r="C27" s="217"/>
      <c r="D27" s="217"/>
      <c r="E27" s="217"/>
      <c r="F27" s="217"/>
      <c r="G27" s="217"/>
      <c r="H27" s="217"/>
    </row>
    <row r="28" spans="1:8" ht="15.75" customHeight="1">
      <c r="A28" s="95" t="s">
        <v>231</v>
      </c>
      <c r="B28" s="211"/>
      <c r="C28" s="211"/>
      <c r="D28" s="211"/>
      <c r="E28" s="211"/>
      <c r="F28" s="211"/>
      <c r="G28" s="211"/>
      <c r="H28" s="211"/>
    </row>
    <row r="29" spans="1:8" ht="15.75" customHeight="1">
      <c r="A29" s="93" t="s">
        <v>232</v>
      </c>
      <c r="B29" s="218">
        <v>45859</v>
      </c>
      <c r="C29" s="219" t="s">
        <v>230</v>
      </c>
      <c r="D29" s="220"/>
      <c r="E29" s="220"/>
      <c r="F29" s="220"/>
      <c r="G29" s="220"/>
      <c r="H29" s="220"/>
    </row>
    <row r="30" spans="1:8" ht="15.75" customHeight="1">
      <c r="A30" s="94"/>
      <c r="B30" s="217"/>
      <c r="C30" s="217"/>
      <c r="D30" s="217"/>
      <c r="E30" s="217"/>
      <c r="F30" s="217"/>
      <c r="G30" s="217"/>
      <c r="H30" s="217"/>
    </row>
    <row r="31" spans="1:8" ht="15.75" customHeight="1">
      <c r="A31" s="95" t="s">
        <v>233</v>
      </c>
      <c r="B31" s="211"/>
      <c r="C31" s="211"/>
      <c r="D31" s="211"/>
      <c r="E31" s="211"/>
      <c r="F31" s="211"/>
      <c r="G31" s="211"/>
      <c r="H31" s="211"/>
    </row>
    <row r="32" spans="1:8" ht="15.75" customHeight="1">
      <c r="A32" s="93" t="s">
        <v>234</v>
      </c>
      <c r="B32" s="216"/>
      <c r="C32" s="216"/>
      <c r="D32" s="216"/>
      <c r="E32" s="216"/>
      <c r="F32" s="216"/>
      <c r="G32" s="216"/>
      <c r="H32" s="216"/>
    </row>
    <row r="33" spans="1:8" ht="15.75" customHeight="1">
      <c r="A33" s="94"/>
      <c r="B33" s="217"/>
      <c r="C33" s="217"/>
      <c r="D33" s="217"/>
      <c r="E33" s="217"/>
      <c r="F33" s="217"/>
      <c r="G33" s="217"/>
      <c r="H33" s="217"/>
    </row>
    <row r="34" spans="1:8" ht="15.75" customHeight="1">
      <c r="A34" s="95" t="s">
        <v>235</v>
      </c>
      <c r="B34" s="211"/>
      <c r="C34" s="211"/>
      <c r="D34" s="211"/>
      <c r="E34" s="211"/>
      <c r="F34" s="211"/>
      <c r="G34" s="211"/>
      <c r="H34" s="211"/>
    </row>
    <row r="35" spans="1:8" ht="15.75" customHeight="1">
      <c r="A35" s="93" t="s">
        <v>234</v>
      </c>
      <c r="B35" s="220"/>
      <c r="C35" s="220"/>
      <c r="D35" s="220"/>
      <c r="E35" s="220"/>
      <c r="F35" s="220"/>
      <c r="G35" s="220"/>
      <c r="H35" s="220"/>
    </row>
    <row r="36" spans="1:8" ht="15.75" customHeight="1">
      <c r="A36" s="94"/>
      <c r="B36" s="217"/>
      <c r="C36" s="217"/>
      <c r="D36" s="217"/>
      <c r="E36" s="217"/>
      <c r="F36" s="217"/>
      <c r="G36" s="217"/>
      <c r="H36" s="217"/>
    </row>
    <row r="37" spans="1:8" ht="15.75" customHeight="1">
      <c r="A37" s="95" t="s">
        <v>235</v>
      </c>
      <c r="B37" s="211"/>
      <c r="C37" s="211"/>
      <c r="D37" s="211"/>
      <c r="E37" s="211"/>
      <c r="F37" s="211"/>
      <c r="G37" s="211"/>
      <c r="H37" s="211"/>
    </row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G29:G31"/>
    <mergeCell ref="H29:H31"/>
    <mergeCell ref="B35:B37"/>
    <mergeCell ref="C35:C37"/>
    <mergeCell ref="D35:D37"/>
    <mergeCell ref="E35:E37"/>
    <mergeCell ref="F35:F37"/>
    <mergeCell ref="G35:G37"/>
    <mergeCell ref="H35:H37"/>
    <mergeCell ref="B32:B34"/>
    <mergeCell ref="C32:C34"/>
    <mergeCell ref="D32:D34"/>
    <mergeCell ref="E32:E34"/>
    <mergeCell ref="F32:F34"/>
    <mergeCell ref="G32:G34"/>
    <mergeCell ref="H32:H34"/>
    <mergeCell ref="B29:B31"/>
    <mergeCell ref="C29:C31"/>
    <mergeCell ref="D29:D31"/>
    <mergeCell ref="E29:E31"/>
    <mergeCell ref="F29:F31"/>
    <mergeCell ref="G26:G28"/>
    <mergeCell ref="H26:H28"/>
    <mergeCell ref="C23:C24"/>
    <mergeCell ref="D23:D24"/>
    <mergeCell ref="B26:B28"/>
    <mergeCell ref="C26:C28"/>
    <mergeCell ref="D26:D28"/>
    <mergeCell ref="E26:E28"/>
    <mergeCell ref="F26:F28"/>
    <mergeCell ref="A10:H10"/>
    <mergeCell ref="A11:H11"/>
    <mergeCell ref="E23:F23"/>
    <mergeCell ref="G23:G24"/>
    <mergeCell ref="A12:F12"/>
    <mergeCell ref="A13:C13"/>
    <mergeCell ref="B15:H15"/>
    <mergeCell ref="B16:H16"/>
    <mergeCell ref="B17:H17"/>
    <mergeCell ref="A23:A24"/>
    <mergeCell ref="B23:B24"/>
    <mergeCell ref="H23:H24"/>
    <mergeCell ref="A1:H4"/>
    <mergeCell ref="A5:H5"/>
    <mergeCell ref="E7:H7"/>
    <mergeCell ref="A8:H8"/>
    <mergeCell ref="E9:H9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6640625" defaultRowHeight="15" customHeight="1"/>
  <cols>
    <col min="1" max="15" width="8.77734375" customWidth="1"/>
    <col min="16" max="16" width="15.6640625" customWidth="1"/>
    <col min="17" max="26" width="8.77734375" customWidth="1"/>
  </cols>
  <sheetData>
    <row r="1" spans="1:26" ht="15.75" customHeight="1">
      <c r="A1" s="96"/>
      <c r="B1" s="223" t="s">
        <v>167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9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.75" customHeight="1">
      <c r="A3" s="9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24.75" customHeight="1">
      <c r="A4" s="9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22.5" customHeight="1">
      <c r="A5" s="221" t="s">
        <v>168</v>
      </c>
      <c r="B5" s="145"/>
      <c r="C5" s="145"/>
      <c r="D5" s="146"/>
      <c r="E5" s="221" t="s">
        <v>169</v>
      </c>
      <c r="F5" s="145"/>
      <c r="G5" s="146"/>
      <c r="H5" s="221" t="s">
        <v>170</v>
      </c>
      <c r="I5" s="145"/>
      <c r="J5" s="146"/>
      <c r="K5" s="221" t="s">
        <v>171</v>
      </c>
      <c r="L5" s="146"/>
      <c r="M5" s="221" t="s">
        <v>172</v>
      </c>
      <c r="N5" s="145"/>
      <c r="O5" s="146"/>
      <c r="P5" s="97" t="s">
        <v>173</v>
      </c>
      <c r="Q5" s="98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221" t="s">
        <v>80</v>
      </c>
      <c r="B6" s="145"/>
      <c r="C6" s="145"/>
      <c r="D6" s="146"/>
      <c r="E6" s="221" t="s">
        <v>54</v>
      </c>
      <c r="F6" s="145"/>
      <c r="G6" s="146"/>
      <c r="H6" s="221" t="s">
        <v>10</v>
      </c>
      <c r="I6" s="145"/>
      <c r="J6" s="146"/>
      <c r="K6" s="221" t="s">
        <v>12</v>
      </c>
      <c r="L6" s="146"/>
      <c r="M6" s="221" t="s">
        <v>236</v>
      </c>
      <c r="N6" s="145"/>
      <c r="O6" s="146"/>
      <c r="P6" s="99">
        <v>45911</v>
      </c>
      <c r="Q6" s="98"/>
      <c r="R6" s="96"/>
      <c r="S6" s="96"/>
      <c r="T6" s="96"/>
      <c r="U6" s="96"/>
      <c r="V6" s="96"/>
      <c r="W6" s="96"/>
      <c r="X6" s="96"/>
      <c r="Y6" s="96"/>
      <c r="Z6" s="96"/>
    </row>
    <row r="7" spans="1:26" ht="15.75" customHeight="1">
      <c r="A7" s="221" t="s">
        <v>128</v>
      </c>
      <c r="B7" s="145"/>
      <c r="C7" s="145"/>
      <c r="D7" s="146"/>
      <c r="E7" s="221" t="s">
        <v>54</v>
      </c>
      <c r="F7" s="145"/>
      <c r="G7" s="146"/>
      <c r="H7" s="221" t="s">
        <v>10</v>
      </c>
      <c r="I7" s="145"/>
      <c r="J7" s="146"/>
      <c r="K7" s="221" t="s">
        <v>129</v>
      </c>
      <c r="L7" s="146"/>
      <c r="M7" s="221" t="s">
        <v>175</v>
      </c>
      <c r="N7" s="145"/>
      <c r="O7" s="146"/>
      <c r="P7" s="99">
        <v>45911</v>
      </c>
      <c r="Q7" s="98"/>
      <c r="R7" s="96"/>
      <c r="S7" s="96"/>
      <c r="T7" s="96"/>
      <c r="U7" s="96"/>
      <c r="V7" s="96"/>
      <c r="W7" s="96"/>
      <c r="X7" s="96"/>
      <c r="Y7" s="96"/>
      <c r="Z7" s="96"/>
    </row>
    <row r="8" spans="1:26" ht="15.75" customHeight="1">
      <c r="A8" s="221" t="s">
        <v>126</v>
      </c>
      <c r="B8" s="145"/>
      <c r="C8" s="145"/>
      <c r="D8" s="146"/>
      <c r="E8" s="221" t="s">
        <v>54</v>
      </c>
      <c r="F8" s="145"/>
      <c r="G8" s="146"/>
      <c r="H8" s="221" t="s">
        <v>237</v>
      </c>
      <c r="I8" s="145"/>
      <c r="J8" s="146"/>
      <c r="K8" s="221" t="s">
        <v>127</v>
      </c>
      <c r="L8" s="146"/>
      <c r="M8" s="221" t="s">
        <v>177</v>
      </c>
      <c r="N8" s="145"/>
      <c r="O8" s="146"/>
      <c r="P8" s="99">
        <v>45911</v>
      </c>
      <c r="Q8" s="98"/>
      <c r="R8" s="96"/>
      <c r="S8" s="96"/>
      <c r="T8" s="96"/>
      <c r="U8" s="96"/>
      <c r="V8" s="96"/>
      <c r="W8" s="96"/>
      <c r="X8" s="96"/>
      <c r="Y8" s="96"/>
      <c r="Z8" s="96"/>
    </row>
    <row r="9" spans="1:26" ht="31.5" customHeight="1">
      <c r="A9" s="224" t="s">
        <v>178</v>
      </c>
      <c r="B9" s="151"/>
      <c r="C9" s="152"/>
      <c r="D9" s="100" t="s">
        <v>179</v>
      </c>
      <c r="E9" s="222" t="s">
        <v>180</v>
      </c>
      <c r="F9" s="145"/>
      <c r="G9" s="146"/>
      <c r="H9" s="100" t="s">
        <v>179</v>
      </c>
      <c r="I9" s="222" t="s">
        <v>181</v>
      </c>
      <c r="J9" s="146"/>
      <c r="K9" s="100" t="s">
        <v>179</v>
      </c>
      <c r="L9" s="222" t="s">
        <v>182</v>
      </c>
      <c r="M9" s="145"/>
      <c r="N9" s="146"/>
      <c r="O9" s="101"/>
      <c r="P9" s="101"/>
      <c r="Q9" s="98"/>
      <c r="R9" s="96"/>
      <c r="S9" s="96"/>
      <c r="T9" s="96"/>
      <c r="U9" s="96"/>
      <c r="V9" s="96"/>
      <c r="W9" s="96"/>
      <c r="X9" s="96"/>
      <c r="Y9" s="96"/>
      <c r="Z9" s="96"/>
    </row>
    <row r="10" spans="1:26" ht="31.5" customHeight="1">
      <c r="A10" s="199"/>
      <c r="B10" s="182"/>
      <c r="C10" s="180"/>
      <c r="D10" s="222" t="s">
        <v>183</v>
      </c>
      <c r="E10" s="145"/>
      <c r="F10" s="145"/>
      <c r="G10" s="146"/>
      <c r="H10" s="221" t="s">
        <v>238</v>
      </c>
      <c r="I10" s="145"/>
      <c r="J10" s="145"/>
      <c r="K10" s="145"/>
      <c r="L10" s="145"/>
      <c r="M10" s="145"/>
      <c r="N10" s="145"/>
      <c r="O10" s="145"/>
      <c r="P10" s="146"/>
      <c r="Q10" s="98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31.5" customHeight="1">
      <c r="A11" s="221" t="s">
        <v>185</v>
      </c>
      <c r="B11" s="145"/>
      <c r="C11" s="146"/>
      <c r="D11" s="221" t="s">
        <v>239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6"/>
      <c r="Q11" s="98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31.5" customHeight="1">
      <c r="A12" s="221" t="s">
        <v>187</v>
      </c>
      <c r="B12" s="145"/>
      <c r="C12" s="146"/>
      <c r="D12" s="222" t="s">
        <v>240</v>
      </c>
      <c r="E12" s="145"/>
      <c r="F12" s="145"/>
      <c r="G12" s="145"/>
      <c r="H12" s="145"/>
      <c r="I12" s="145"/>
      <c r="J12" s="146"/>
      <c r="K12" s="222" t="s">
        <v>241</v>
      </c>
      <c r="L12" s="145"/>
      <c r="M12" s="145"/>
      <c r="N12" s="145"/>
      <c r="O12" s="145"/>
      <c r="P12" s="146"/>
      <c r="Q12" s="98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customHeight="1">
      <c r="A13" s="224" t="s">
        <v>190</v>
      </c>
      <c r="B13" s="151"/>
      <c r="C13" s="152"/>
      <c r="D13" s="100" t="s">
        <v>179</v>
      </c>
      <c r="E13" s="222" t="s">
        <v>191</v>
      </c>
      <c r="F13" s="145"/>
      <c r="G13" s="146"/>
      <c r="H13" s="100" t="s">
        <v>179</v>
      </c>
      <c r="I13" s="222" t="s">
        <v>192</v>
      </c>
      <c r="J13" s="146"/>
      <c r="K13" s="100" t="s">
        <v>179</v>
      </c>
      <c r="L13" s="222" t="s">
        <v>193</v>
      </c>
      <c r="M13" s="146"/>
      <c r="N13" s="101"/>
      <c r="O13" s="100" t="s">
        <v>179</v>
      </c>
      <c r="P13" s="102" t="s">
        <v>242</v>
      </c>
      <c r="Q13" s="98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199"/>
      <c r="B14" s="182"/>
      <c r="C14" s="180"/>
      <c r="D14" s="100" t="s">
        <v>179</v>
      </c>
      <c r="E14" s="222" t="s">
        <v>195</v>
      </c>
      <c r="F14" s="146"/>
      <c r="G14" s="102"/>
      <c r="H14" s="100" t="s">
        <v>179</v>
      </c>
      <c r="I14" s="222" t="s">
        <v>196</v>
      </c>
      <c r="J14" s="146"/>
      <c r="K14" s="100" t="s">
        <v>179</v>
      </c>
      <c r="L14" s="222" t="s">
        <v>197</v>
      </c>
      <c r="M14" s="146"/>
      <c r="N14" s="97"/>
      <c r="O14" s="100" t="s">
        <v>179</v>
      </c>
      <c r="P14" s="102" t="s">
        <v>198</v>
      </c>
      <c r="Q14" s="98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31.5" customHeight="1">
      <c r="A15" s="103"/>
      <c r="B15" s="103"/>
      <c r="C15" s="103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103"/>
      <c r="O15" s="103"/>
      <c r="P15" s="103"/>
      <c r="Q15" s="98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225" t="s">
        <v>36</v>
      </c>
      <c r="B16" s="156"/>
      <c r="C16" s="156"/>
      <c r="D16" s="156"/>
      <c r="E16" s="225" t="s">
        <v>37</v>
      </c>
      <c r="F16" s="156"/>
      <c r="G16" s="156"/>
      <c r="H16" s="156"/>
      <c r="I16" s="156"/>
      <c r="J16" s="156"/>
      <c r="K16" s="225" t="s">
        <v>39</v>
      </c>
      <c r="L16" s="156"/>
      <c r="M16" s="156"/>
      <c r="N16" s="156"/>
      <c r="O16" s="156"/>
      <c r="P16" s="156"/>
      <c r="Q16" s="98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98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98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98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225" t="s">
        <v>80</v>
      </c>
      <c r="B20" s="156"/>
      <c r="C20" s="156"/>
      <c r="D20" s="156"/>
      <c r="E20" s="225" t="s">
        <v>41</v>
      </c>
      <c r="F20" s="156"/>
      <c r="G20" s="156"/>
      <c r="H20" s="156"/>
      <c r="I20" s="156"/>
      <c r="J20" s="156"/>
      <c r="K20" s="225"/>
      <c r="L20" s="156"/>
      <c r="M20" s="156"/>
      <c r="N20" s="156"/>
      <c r="O20" s="156"/>
      <c r="P20" s="156"/>
      <c r="Q20" s="98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20:D20"/>
    <mergeCell ref="E20:J20"/>
    <mergeCell ref="L13:M13"/>
    <mergeCell ref="L14:M14"/>
    <mergeCell ref="K16:P16"/>
    <mergeCell ref="K20:P20"/>
    <mergeCell ref="A13:C14"/>
    <mergeCell ref="I13:J13"/>
    <mergeCell ref="I14:J14"/>
    <mergeCell ref="D11:P11"/>
    <mergeCell ref="E13:G13"/>
    <mergeCell ref="E14:F14"/>
    <mergeCell ref="A16:D16"/>
    <mergeCell ref="E16:J16"/>
    <mergeCell ref="A11:C11"/>
    <mergeCell ref="A12:C12"/>
    <mergeCell ref="D12:J12"/>
    <mergeCell ref="K12:P12"/>
    <mergeCell ref="A9:C10"/>
    <mergeCell ref="E9:G9"/>
    <mergeCell ref="I9:J9"/>
    <mergeCell ref="D10:G10"/>
    <mergeCell ref="H10:P10"/>
    <mergeCell ref="A7:D7"/>
    <mergeCell ref="E7:G7"/>
    <mergeCell ref="H7:J7"/>
    <mergeCell ref="K7:L7"/>
    <mergeCell ref="K8:L8"/>
    <mergeCell ref="A8:D8"/>
    <mergeCell ref="K6:L6"/>
    <mergeCell ref="M6:O6"/>
    <mergeCell ref="M7:O7"/>
    <mergeCell ref="L9:N9"/>
    <mergeCell ref="B1:P4"/>
    <mergeCell ref="A5:D5"/>
    <mergeCell ref="E5:G5"/>
    <mergeCell ref="H5:J5"/>
    <mergeCell ref="K5:L5"/>
    <mergeCell ref="M5:O5"/>
    <mergeCell ref="A6:D6"/>
    <mergeCell ref="E8:G8"/>
    <mergeCell ref="H8:J8"/>
    <mergeCell ref="M8:O8"/>
    <mergeCell ref="E6:G6"/>
    <mergeCell ref="H6:J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6640625" defaultRowHeight="15" customHeight="1"/>
  <cols>
    <col min="1" max="15" width="8.77734375" customWidth="1"/>
    <col min="16" max="16" width="15.6640625" customWidth="1"/>
    <col min="17" max="26" width="8.77734375" customWidth="1"/>
  </cols>
  <sheetData>
    <row r="1" spans="1:26" ht="15.75" customHeight="1">
      <c r="A1" s="96"/>
      <c r="B1" s="223" t="s">
        <v>167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.75" customHeight="1">
      <c r="A2" s="9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.75" customHeight="1">
      <c r="A3" s="9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24.75" customHeight="1">
      <c r="A4" s="9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22.5" customHeight="1">
      <c r="A5" s="221" t="s">
        <v>168</v>
      </c>
      <c r="B5" s="145"/>
      <c r="C5" s="145"/>
      <c r="D5" s="146"/>
      <c r="E5" s="221" t="s">
        <v>169</v>
      </c>
      <c r="F5" s="145"/>
      <c r="G5" s="146"/>
      <c r="H5" s="221" t="s">
        <v>170</v>
      </c>
      <c r="I5" s="145"/>
      <c r="J5" s="146"/>
      <c r="K5" s="221" t="s">
        <v>171</v>
      </c>
      <c r="L5" s="146"/>
      <c r="M5" s="221" t="s">
        <v>172</v>
      </c>
      <c r="N5" s="145"/>
      <c r="O5" s="146"/>
      <c r="P5" s="97" t="s">
        <v>173</v>
      </c>
      <c r="Q5" s="98"/>
      <c r="R5" s="96"/>
      <c r="S5" s="96"/>
      <c r="T5" s="96"/>
      <c r="U5" s="96"/>
      <c r="V5" s="96"/>
      <c r="W5" s="96"/>
      <c r="X5" s="96"/>
      <c r="Y5" s="96"/>
      <c r="Z5" s="96"/>
    </row>
    <row r="6" spans="1:26" ht="15.75" customHeight="1">
      <c r="A6" s="221" t="s">
        <v>80</v>
      </c>
      <c r="B6" s="145"/>
      <c r="C6" s="145"/>
      <c r="D6" s="146"/>
      <c r="E6" s="221" t="s">
        <v>54</v>
      </c>
      <c r="F6" s="145"/>
      <c r="G6" s="146"/>
      <c r="H6" s="221" t="s">
        <v>10</v>
      </c>
      <c r="I6" s="145"/>
      <c r="J6" s="146"/>
      <c r="K6" s="221" t="s">
        <v>12</v>
      </c>
      <c r="L6" s="146"/>
      <c r="M6" s="221" t="s">
        <v>236</v>
      </c>
      <c r="N6" s="145"/>
      <c r="O6" s="146"/>
      <c r="P6" s="99">
        <v>45911</v>
      </c>
      <c r="Q6" s="98"/>
      <c r="R6" s="96"/>
      <c r="S6" s="96"/>
      <c r="T6" s="96"/>
      <c r="U6" s="96"/>
      <c r="V6" s="96"/>
      <c r="W6" s="96"/>
      <c r="X6" s="96"/>
      <c r="Y6" s="96"/>
      <c r="Z6" s="96"/>
    </row>
    <row r="7" spans="1:26" ht="31.5" customHeight="1">
      <c r="A7" s="224" t="s">
        <v>178</v>
      </c>
      <c r="B7" s="151"/>
      <c r="C7" s="152"/>
      <c r="D7" s="100" t="s">
        <v>179</v>
      </c>
      <c r="E7" s="222" t="s">
        <v>180</v>
      </c>
      <c r="F7" s="145"/>
      <c r="G7" s="146"/>
      <c r="H7" s="100" t="s">
        <v>179</v>
      </c>
      <c r="I7" s="222" t="s">
        <v>181</v>
      </c>
      <c r="J7" s="146"/>
      <c r="K7" s="100" t="s">
        <v>179</v>
      </c>
      <c r="L7" s="222" t="s">
        <v>182</v>
      </c>
      <c r="M7" s="145"/>
      <c r="N7" s="146"/>
      <c r="O7" s="101"/>
      <c r="P7" s="101"/>
      <c r="Q7" s="98"/>
      <c r="R7" s="96"/>
      <c r="S7" s="96"/>
      <c r="T7" s="96"/>
      <c r="U7" s="96"/>
      <c r="V7" s="96"/>
      <c r="W7" s="96"/>
      <c r="X7" s="96"/>
      <c r="Y7" s="96"/>
      <c r="Z7" s="96"/>
    </row>
    <row r="8" spans="1:26" ht="31.5" customHeight="1">
      <c r="A8" s="199"/>
      <c r="B8" s="182"/>
      <c r="C8" s="180"/>
      <c r="D8" s="222" t="s">
        <v>183</v>
      </c>
      <c r="E8" s="145"/>
      <c r="F8" s="145"/>
      <c r="G8" s="146"/>
      <c r="H8" s="221" t="s">
        <v>118</v>
      </c>
      <c r="I8" s="145"/>
      <c r="J8" s="145"/>
      <c r="K8" s="145"/>
      <c r="L8" s="145"/>
      <c r="M8" s="145"/>
      <c r="N8" s="145"/>
      <c r="O8" s="145"/>
      <c r="P8" s="146"/>
      <c r="Q8" s="98"/>
      <c r="R8" s="96"/>
      <c r="S8" s="96"/>
      <c r="T8" s="96"/>
      <c r="U8" s="96"/>
      <c r="V8" s="96"/>
      <c r="W8" s="96"/>
      <c r="X8" s="96"/>
      <c r="Y8" s="96"/>
      <c r="Z8" s="96"/>
    </row>
    <row r="9" spans="1:26" ht="31.5" customHeight="1">
      <c r="A9" s="221" t="s">
        <v>185</v>
      </c>
      <c r="B9" s="145"/>
      <c r="C9" s="146"/>
      <c r="D9" s="221" t="s">
        <v>243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6"/>
      <c r="Q9" s="98"/>
      <c r="R9" s="96"/>
      <c r="S9" s="96"/>
      <c r="T9" s="96"/>
      <c r="U9" s="96"/>
      <c r="V9" s="96"/>
      <c r="W9" s="96"/>
      <c r="X9" s="96"/>
      <c r="Y9" s="96"/>
      <c r="Z9" s="96"/>
    </row>
    <row r="10" spans="1:26" ht="31.5" customHeight="1">
      <c r="A10" s="221" t="s">
        <v>187</v>
      </c>
      <c r="B10" s="145"/>
      <c r="C10" s="146"/>
      <c r="D10" s="222" t="s">
        <v>244</v>
      </c>
      <c r="E10" s="145"/>
      <c r="F10" s="145"/>
      <c r="G10" s="145"/>
      <c r="H10" s="145"/>
      <c r="I10" s="145"/>
      <c r="J10" s="146"/>
      <c r="K10" s="222" t="s">
        <v>189</v>
      </c>
      <c r="L10" s="145"/>
      <c r="M10" s="145"/>
      <c r="N10" s="145"/>
      <c r="O10" s="145"/>
      <c r="P10" s="146"/>
      <c r="Q10" s="98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customHeight="1">
      <c r="A11" s="224" t="s">
        <v>190</v>
      </c>
      <c r="B11" s="151"/>
      <c r="C11" s="152"/>
      <c r="D11" s="100" t="s">
        <v>179</v>
      </c>
      <c r="E11" s="222" t="s">
        <v>191</v>
      </c>
      <c r="F11" s="145"/>
      <c r="G11" s="146"/>
      <c r="H11" s="100" t="s">
        <v>179</v>
      </c>
      <c r="I11" s="222" t="s">
        <v>192</v>
      </c>
      <c r="J11" s="146"/>
      <c r="K11" s="100" t="s">
        <v>179</v>
      </c>
      <c r="L11" s="222" t="s">
        <v>193</v>
      </c>
      <c r="M11" s="146"/>
      <c r="N11" s="101"/>
      <c r="O11" s="100" t="s">
        <v>179</v>
      </c>
      <c r="P11" s="102" t="s">
        <v>245</v>
      </c>
      <c r="Q11" s="98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199"/>
      <c r="B12" s="182"/>
      <c r="C12" s="180"/>
      <c r="D12" s="100" t="s">
        <v>179</v>
      </c>
      <c r="E12" s="222" t="s">
        <v>195</v>
      </c>
      <c r="F12" s="146"/>
      <c r="G12" s="102"/>
      <c r="H12" s="100" t="s">
        <v>179</v>
      </c>
      <c r="I12" s="222" t="s">
        <v>196</v>
      </c>
      <c r="J12" s="146"/>
      <c r="K12" s="100" t="s">
        <v>179</v>
      </c>
      <c r="L12" s="222" t="s">
        <v>197</v>
      </c>
      <c r="M12" s="146"/>
      <c r="N12" s="97"/>
      <c r="O12" s="100" t="s">
        <v>179</v>
      </c>
      <c r="P12" s="102" t="s">
        <v>198</v>
      </c>
      <c r="Q12" s="98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31.5" customHeight="1">
      <c r="A13" s="103"/>
      <c r="B13" s="103"/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103"/>
      <c r="O13" s="103"/>
      <c r="P13" s="103"/>
      <c r="Q13" s="98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customHeight="1">
      <c r="A14" s="225" t="s">
        <v>36</v>
      </c>
      <c r="B14" s="156"/>
      <c r="C14" s="156"/>
      <c r="D14" s="156"/>
      <c r="E14" s="225" t="s">
        <v>37</v>
      </c>
      <c r="F14" s="156"/>
      <c r="G14" s="156"/>
      <c r="H14" s="156"/>
      <c r="I14" s="156"/>
      <c r="J14" s="156"/>
      <c r="K14" s="225" t="s">
        <v>39</v>
      </c>
      <c r="L14" s="156"/>
      <c r="M14" s="156"/>
      <c r="N14" s="156"/>
      <c r="O14" s="156"/>
      <c r="P14" s="156"/>
      <c r="Q14" s="98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customHeight="1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98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customHeight="1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98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customHeight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98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customHeight="1">
      <c r="A18" s="225" t="s">
        <v>80</v>
      </c>
      <c r="B18" s="156"/>
      <c r="C18" s="156"/>
      <c r="D18" s="156"/>
      <c r="E18" s="225" t="s">
        <v>41</v>
      </c>
      <c r="F18" s="156"/>
      <c r="G18" s="156"/>
      <c r="H18" s="156"/>
      <c r="I18" s="156"/>
      <c r="J18" s="156"/>
      <c r="K18" s="225"/>
      <c r="L18" s="156"/>
      <c r="M18" s="156"/>
      <c r="N18" s="156"/>
      <c r="O18" s="156"/>
      <c r="P18" s="156"/>
      <c r="Q18" s="98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8:D18"/>
    <mergeCell ref="E18:J18"/>
    <mergeCell ref="L11:M11"/>
    <mergeCell ref="L12:M12"/>
    <mergeCell ref="K14:P14"/>
    <mergeCell ref="K18:P18"/>
    <mergeCell ref="A11:C12"/>
    <mergeCell ref="I11:J11"/>
    <mergeCell ref="I12:J12"/>
    <mergeCell ref="D8:G8"/>
    <mergeCell ref="D9:P9"/>
    <mergeCell ref="E11:G11"/>
    <mergeCell ref="E12:F12"/>
    <mergeCell ref="A14:D14"/>
    <mergeCell ref="E14:J14"/>
    <mergeCell ref="A9:C9"/>
    <mergeCell ref="A10:C10"/>
    <mergeCell ref="D10:J10"/>
    <mergeCell ref="K10:P10"/>
    <mergeCell ref="K6:L6"/>
    <mergeCell ref="M6:O6"/>
    <mergeCell ref="L7:N7"/>
    <mergeCell ref="H8:P8"/>
    <mergeCell ref="B1:P4"/>
    <mergeCell ref="A5:D5"/>
    <mergeCell ref="E5:G5"/>
    <mergeCell ref="H5:J5"/>
    <mergeCell ref="K5:L5"/>
    <mergeCell ref="M5:O5"/>
    <mergeCell ref="A6:D6"/>
    <mergeCell ref="E6:G6"/>
    <mergeCell ref="H6:J6"/>
    <mergeCell ref="A7:C8"/>
    <mergeCell ref="E7:G7"/>
    <mergeCell ref="I7:J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H1000"/>
  <sheetViews>
    <sheetView showGridLines="0" workbookViewId="0"/>
  </sheetViews>
  <sheetFormatPr defaultColWidth="12.6640625" defaultRowHeight="15" customHeight="1"/>
  <cols>
    <col min="1" max="1" width="24.21875" customWidth="1"/>
    <col min="2" max="2" width="12.6640625" customWidth="1"/>
    <col min="3" max="3" width="11.44140625" customWidth="1"/>
    <col min="4" max="4" width="12.6640625" customWidth="1"/>
    <col min="5" max="5" width="15.77734375" customWidth="1"/>
    <col min="6" max="6" width="9.109375" customWidth="1"/>
    <col min="7" max="7" width="12.44140625" customWidth="1"/>
    <col min="8" max="8" width="19.21875" customWidth="1"/>
  </cols>
  <sheetData>
    <row r="1" spans="1:8" ht="15.75" customHeight="1">
      <c r="A1" s="205" t="s">
        <v>202</v>
      </c>
      <c r="B1" s="156"/>
      <c r="C1" s="156"/>
      <c r="D1" s="156"/>
      <c r="E1" s="156"/>
      <c r="F1" s="156"/>
      <c r="G1" s="156"/>
      <c r="H1" s="156"/>
    </row>
    <row r="2" spans="1:8" ht="15.75" customHeight="1">
      <c r="A2" s="156"/>
      <c r="B2" s="156"/>
      <c r="C2" s="156"/>
      <c r="D2" s="156"/>
      <c r="E2" s="156"/>
      <c r="F2" s="156"/>
      <c r="G2" s="156"/>
      <c r="H2" s="156"/>
    </row>
    <row r="3" spans="1:8" ht="15.75" customHeight="1">
      <c r="A3" s="156"/>
      <c r="B3" s="156"/>
      <c r="C3" s="156"/>
      <c r="D3" s="156"/>
      <c r="E3" s="156"/>
      <c r="F3" s="156"/>
      <c r="G3" s="156"/>
      <c r="H3" s="156"/>
    </row>
    <row r="4" spans="1:8" ht="15.75" customHeight="1">
      <c r="A4" s="156"/>
      <c r="B4" s="156"/>
      <c r="C4" s="156"/>
      <c r="D4" s="156"/>
      <c r="E4" s="156"/>
      <c r="F4" s="156"/>
      <c r="G4" s="156"/>
      <c r="H4" s="156"/>
    </row>
    <row r="5" spans="1:8" ht="15.75" customHeight="1">
      <c r="A5" s="206" t="s">
        <v>203</v>
      </c>
      <c r="B5" s="156"/>
      <c r="C5" s="156"/>
      <c r="D5" s="156"/>
      <c r="E5" s="156"/>
      <c r="F5" s="156"/>
      <c r="G5" s="156"/>
      <c r="H5" s="156"/>
    </row>
    <row r="6" spans="1:8" ht="15.75" customHeight="1">
      <c r="A6" s="87"/>
      <c r="B6" s="88"/>
      <c r="C6" s="88"/>
      <c r="D6" s="88"/>
      <c r="E6" s="88"/>
      <c r="F6" s="88"/>
      <c r="G6" s="88"/>
      <c r="H6" s="88"/>
    </row>
    <row r="7" spans="1:8" ht="15.75" customHeight="1">
      <c r="A7" s="89" t="s">
        <v>246</v>
      </c>
      <c r="B7" s="89"/>
      <c r="C7" s="89"/>
      <c r="D7" s="89"/>
      <c r="E7" s="207" t="s">
        <v>247</v>
      </c>
      <c r="F7" s="156"/>
      <c r="G7" s="156"/>
      <c r="H7" s="156"/>
    </row>
    <row r="8" spans="1:8" ht="15.75" customHeight="1">
      <c r="A8" s="208" t="s">
        <v>206</v>
      </c>
      <c r="B8" s="156"/>
      <c r="C8" s="156"/>
      <c r="D8" s="156"/>
      <c r="E8" s="156"/>
      <c r="F8" s="156"/>
      <c r="G8" s="156"/>
      <c r="H8" s="156"/>
    </row>
    <row r="9" spans="1:8" ht="15.75" customHeight="1">
      <c r="A9" s="208" t="s">
        <v>248</v>
      </c>
      <c r="B9" s="156"/>
      <c r="C9" s="156"/>
      <c r="D9" s="156"/>
      <c r="E9" s="156"/>
      <c r="F9" s="156"/>
      <c r="G9" s="156"/>
      <c r="H9" s="156"/>
    </row>
    <row r="10" spans="1:8" ht="15.75" customHeight="1">
      <c r="A10" s="208" t="s">
        <v>249</v>
      </c>
      <c r="B10" s="156"/>
      <c r="C10" s="156"/>
      <c r="D10" s="156"/>
      <c r="E10" s="156"/>
      <c r="F10" s="156"/>
      <c r="G10" s="88"/>
      <c r="H10" s="88"/>
    </row>
    <row r="11" spans="1:8" ht="15.75" customHeight="1">
      <c r="A11" s="208" t="s">
        <v>250</v>
      </c>
      <c r="B11" s="156"/>
      <c r="C11" s="156"/>
      <c r="D11" s="88"/>
      <c r="E11" s="88"/>
      <c r="F11" s="88"/>
      <c r="G11" s="88"/>
      <c r="H11" s="88"/>
    </row>
    <row r="12" spans="1:8" ht="15.75" customHeight="1">
      <c r="A12" s="89" t="s">
        <v>212</v>
      </c>
      <c r="B12" s="88"/>
      <c r="C12" s="88"/>
      <c r="D12" s="88"/>
      <c r="E12" s="88"/>
      <c r="F12" s="88"/>
      <c r="G12" s="88"/>
      <c r="H12" s="88"/>
    </row>
    <row r="13" spans="1:8" ht="15.75" customHeight="1">
      <c r="A13" s="88"/>
      <c r="B13" s="212" t="s">
        <v>213</v>
      </c>
      <c r="C13" s="156"/>
      <c r="D13" s="156"/>
      <c r="E13" s="156"/>
      <c r="F13" s="156"/>
      <c r="G13" s="156"/>
      <c r="H13" s="156"/>
    </row>
    <row r="14" spans="1:8" ht="15.75" customHeight="1">
      <c r="A14" s="88"/>
      <c r="B14" s="213" t="s">
        <v>214</v>
      </c>
      <c r="C14" s="156"/>
      <c r="D14" s="156"/>
      <c r="E14" s="156"/>
      <c r="F14" s="156"/>
      <c r="G14" s="156"/>
      <c r="H14" s="156"/>
    </row>
    <row r="15" spans="1:8" ht="15.75" customHeight="1">
      <c r="A15" s="88"/>
      <c r="B15" s="214" t="s">
        <v>215</v>
      </c>
      <c r="C15" s="156"/>
      <c r="D15" s="156"/>
      <c r="E15" s="156"/>
      <c r="F15" s="156"/>
      <c r="G15" s="156"/>
      <c r="H15" s="156"/>
    </row>
    <row r="16" spans="1:8" ht="15.75" customHeight="1">
      <c r="A16" s="87"/>
      <c r="B16" s="88"/>
      <c r="C16" s="88"/>
      <c r="D16" s="88"/>
      <c r="E16" s="88"/>
      <c r="F16" s="88"/>
      <c r="G16" s="88"/>
      <c r="H16" s="88"/>
    </row>
    <row r="17" spans="1:8" ht="15.75" customHeight="1">
      <c r="A17" s="87"/>
      <c r="B17" s="88"/>
      <c r="C17" s="88"/>
      <c r="D17" s="88"/>
      <c r="E17" s="88"/>
      <c r="F17" s="88"/>
      <c r="G17" s="88"/>
      <c r="H17" s="88"/>
    </row>
    <row r="18" spans="1:8" ht="15.75" customHeight="1">
      <c r="A18" s="87"/>
      <c r="B18" s="88"/>
      <c r="C18" s="88"/>
      <c r="D18" s="88"/>
      <c r="E18" s="88"/>
      <c r="F18" s="88"/>
      <c r="G18" s="88"/>
      <c r="H18" s="88"/>
    </row>
    <row r="19" spans="1:8" ht="15.75" customHeight="1">
      <c r="A19" s="87"/>
      <c r="B19" s="88"/>
      <c r="C19" s="88"/>
      <c r="D19" s="88"/>
      <c r="E19" s="88"/>
      <c r="F19" s="88"/>
      <c r="G19" s="88"/>
      <c r="H19" s="88"/>
    </row>
    <row r="20" spans="1:8" ht="15.75" customHeight="1">
      <c r="A20" s="210" t="s">
        <v>216</v>
      </c>
      <c r="B20" s="210" t="s">
        <v>217</v>
      </c>
      <c r="C20" s="210" t="s">
        <v>218</v>
      </c>
      <c r="D20" s="210" t="s">
        <v>219</v>
      </c>
      <c r="E20" s="209" t="s">
        <v>220</v>
      </c>
      <c r="F20" s="146"/>
      <c r="G20" s="210" t="s">
        <v>221</v>
      </c>
      <c r="H20" s="215" t="s">
        <v>222</v>
      </c>
    </row>
    <row r="21" spans="1:8" ht="15.75" customHeight="1">
      <c r="A21" s="211"/>
      <c r="B21" s="211"/>
      <c r="C21" s="211"/>
      <c r="D21" s="211"/>
      <c r="E21" s="90" t="s">
        <v>223</v>
      </c>
      <c r="F21" s="90" t="s">
        <v>224</v>
      </c>
      <c r="G21" s="211"/>
      <c r="H21" s="211"/>
    </row>
    <row r="22" spans="1:8" ht="15.75" customHeight="1">
      <c r="A22" s="91" t="s">
        <v>225</v>
      </c>
      <c r="B22" s="92">
        <v>1</v>
      </c>
      <c r="C22" s="92" t="s">
        <v>226</v>
      </c>
      <c r="D22" s="92">
        <v>2</v>
      </c>
      <c r="E22" s="92">
        <v>3</v>
      </c>
      <c r="F22" s="92">
        <v>4</v>
      </c>
      <c r="G22" s="92" t="s">
        <v>227</v>
      </c>
      <c r="H22" s="92" t="s">
        <v>228</v>
      </c>
    </row>
    <row r="23" spans="1:8" ht="15.75" customHeight="1">
      <c r="A23" s="93" t="s">
        <v>229</v>
      </c>
      <c r="B23" s="218">
        <v>45839</v>
      </c>
      <c r="C23" s="219" t="s">
        <v>230</v>
      </c>
      <c r="D23" s="216"/>
      <c r="E23" s="216"/>
      <c r="F23" s="216"/>
      <c r="G23" s="216"/>
      <c r="H23" s="216"/>
    </row>
    <row r="24" spans="1:8" ht="15.75" customHeight="1">
      <c r="A24" s="94"/>
      <c r="B24" s="217"/>
      <c r="C24" s="217"/>
      <c r="D24" s="217"/>
      <c r="E24" s="217"/>
      <c r="F24" s="217"/>
      <c r="G24" s="217"/>
      <c r="H24" s="217"/>
    </row>
    <row r="25" spans="1:8" ht="15.75" customHeight="1">
      <c r="A25" s="95" t="s">
        <v>251</v>
      </c>
      <c r="B25" s="211"/>
      <c r="C25" s="211"/>
      <c r="D25" s="211"/>
      <c r="E25" s="211"/>
      <c r="F25" s="211"/>
      <c r="G25" s="211"/>
      <c r="H25" s="211"/>
    </row>
    <row r="26" spans="1:8" ht="15.75" customHeight="1">
      <c r="A26" s="93" t="s">
        <v>252</v>
      </c>
      <c r="B26" s="218">
        <v>45842</v>
      </c>
      <c r="C26" s="219" t="s">
        <v>230</v>
      </c>
      <c r="D26" s="220"/>
      <c r="E26" s="220"/>
      <c r="F26" s="220"/>
      <c r="G26" s="220"/>
      <c r="H26" s="220"/>
    </row>
    <row r="27" spans="1:8" ht="15.75" customHeight="1">
      <c r="A27" s="94"/>
      <c r="B27" s="217"/>
      <c r="C27" s="217"/>
      <c r="D27" s="217"/>
      <c r="E27" s="217"/>
      <c r="F27" s="217"/>
      <c r="G27" s="217"/>
      <c r="H27" s="217"/>
    </row>
    <row r="28" spans="1:8" ht="15.75" customHeight="1">
      <c r="A28" s="95" t="s">
        <v>233</v>
      </c>
      <c r="B28" s="211"/>
      <c r="C28" s="211"/>
      <c r="D28" s="211"/>
      <c r="E28" s="211"/>
      <c r="F28" s="211"/>
      <c r="G28" s="211"/>
      <c r="H28" s="211"/>
    </row>
    <row r="29" spans="1:8" ht="15.75" customHeight="1">
      <c r="A29" s="93" t="s">
        <v>234</v>
      </c>
      <c r="B29" s="216"/>
      <c r="C29" s="216"/>
      <c r="D29" s="216"/>
      <c r="E29" s="216"/>
      <c r="F29" s="216"/>
      <c r="G29" s="216"/>
      <c r="H29" s="216"/>
    </row>
    <row r="30" spans="1:8" ht="15.75" customHeight="1">
      <c r="A30" s="94"/>
      <c r="B30" s="217"/>
      <c r="C30" s="217"/>
      <c r="D30" s="217"/>
      <c r="E30" s="217"/>
      <c r="F30" s="217"/>
      <c r="G30" s="217"/>
      <c r="H30" s="217"/>
    </row>
    <row r="31" spans="1:8" ht="15.75" customHeight="1">
      <c r="A31" s="95" t="s">
        <v>235</v>
      </c>
      <c r="B31" s="211"/>
      <c r="C31" s="211"/>
      <c r="D31" s="211"/>
      <c r="E31" s="211"/>
      <c r="F31" s="211"/>
      <c r="G31" s="211"/>
      <c r="H31" s="211"/>
    </row>
    <row r="32" spans="1:8" ht="15.75" customHeight="1">
      <c r="A32" s="93" t="s">
        <v>234</v>
      </c>
      <c r="B32" s="220"/>
      <c r="C32" s="220"/>
      <c r="D32" s="220"/>
      <c r="E32" s="220"/>
      <c r="F32" s="220"/>
      <c r="G32" s="220"/>
      <c r="H32" s="220"/>
    </row>
    <row r="33" spans="1:8" ht="15.75" customHeight="1">
      <c r="A33" s="94"/>
      <c r="B33" s="217"/>
      <c r="C33" s="217"/>
      <c r="D33" s="217"/>
      <c r="E33" s="217"/>
      <c r="F33" s="217"/>
      <c r="G33" s="217"/>
      <c r="H33" s="217"/>
    </row>
    <row r="34" spans="1:8" ht="15.75" customHeight="1">
      <c r="A34" s="95" t="s">
        <v>235</v>
      </c>
      <c r="B34" s="211"/>
      <c r="C34" s="211"/>
      <c r="D34" s="211"/>
      <c r="E34" s="211"/>
      <c r="F34" s="211"/>
      <c r="G34" s="211"/>
      <c r="H34" s="211"/>
    </row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G26:G28"/>
    <mergeCell ref="H26:H28"/>
    <mergeCell ref="B32:B34"/>
    <mergeCell ref="C32:C34"/>
    <mergeCell ref="D32:D34"/>
    <mergeCell ref="E32:E34"/>
    <mergeCell ref="F32:F34"/>
    <mergeCell ref="G32:G34"/>
    <mergeCell ref="H32:H34"/>
    <mergeCell ref="B29:B31"/>
    <mergeCell ref="C29:C31"/>
    <mergeCell ref="D29:D31"/>
    <mergeCell ref="E29:E31"/>
    <mergeCell ref="F29:F31"/>
    <mergeCell ref="G29:G31"/>
    <mergeCell ref="H29:H31"/>
    <mergeCell ref="B26:B28"/>
    <mergeCell ref="C26:C28"/>
    <mergeCell ref="D26:D28"/>
    <mergeCell ref="E26:E28"/>
    <mergeCell ref="F26:F28"/>
    <mergeCell ref="G23:G25"/>
    <mergeCell ref="H23:H25"/>
    <mergeCell ref="E20:F20"/>
    <mergeCell ref="G20:G21"/>
    <mergeCell ref="B23:B25"/>
    <mergeCell ref="C23:C25"/>
    <mergeCell ref="D23:D25"/>
    <mergeCell ref="E23:E25"/>
    <mergeCell ref="F23:F25"/>
    <mergeCell ref="A20:A21"/>
    <mergeCell ref="B20:B21"/>
    <mergeCell ref="C20:C21"/>
    <mergeCell ref="D20:D21"/>
    <mergeCell ref="H20:H21"/>
    <mergeCell ref="A10:F10"/>
    <mergeCell ref="A11:C11"/>
    <mergeCell ref="B13:H13"/>
    <mergeCell ref="B14:H14"/>
    <mergeCell ref="B15:H15"/>
    <mergeCell ref="A1:H4"/>
    <mergeCell ref="A5:H5"/>
    <mergeCell ref="E7:H7"/>
    <mergeCell ref="A8:H8"/>
    <mergeCell ref="A9:H9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Y1000"/>
  <sheetViews>
    <sheetView showGridLines="0" workbookViewId="0"/>
  </sheetViews>
  <sheetFormatPr defaultColWidth="12.6640625" defaultRowHeight="15" customHeight="1"/>
  <cols>
    <col min="1" max="1" width="11.33203125" customWidth="1"/>
    <col min="2" max="2" width="15.109375" customWidth="1"/>
    <col min="3" max="3" width="15.6640625" customWidth="1"/>
    <col min="4" max="6" width="12.6640625" customWidth="1"/>
  </cols>
  <sheetData>
    <row r="1" spans="1:25" ht="15.75" customHeight="1">
      <c r="A1" s="170" t="s">
        <v>44</v>
      </c>
      <c r="B1" s="156"/>
      <c r="C1" s="156"/>
      <c r="D1" s="156"/>
      <c r="E1" s="156"/>
      <c r="F1" s="156"/>
      <c r="G1" s="156"/>
      <c r="H1" s="156"/>
      <c r="I1" s="156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3"/>
      <c r="B2" s="13"/>
      <c r="C2" s="15"/>
      <c r="D2" s="13"/>
      <c r="E2" s="13"/>
      <c r="F2" s="13"/>
      <c r="G2" s="13"/>
      <c r="H2" s="171" t="s">
        <v>45</v>
      </c>
      <c r="I2" s="156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5.75" customHeight="1">
      <c r="A3" s="172" t="s">
        <v>46</v>
      </c>
      <c r="B3" s="146"/>
      <c r="C3" s="172" t="s">
        <v>119</v>
      </c>
      <c r="D3" s="145"/>
      <c r="E3" s="146"/>
      <c r="F3" s="172" t="s">
        <v>14</v>
      </c>
      <c r="G3" s="146"/>
      <c r="H3" s="173" t="s">
        <v>48</v>
      </c>
      <c r="I3" s="146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customHeight="1">
      <c r="A4" s="172" t="s">
        <v>49</v>
      </c>
      <c r="B4" s="146"/>
      <c r="C4" s="172" t="s">
        <v>253</v>
      </c>
      <c r="D4" s="145"/>
      <c r="E4" s="146"/>
      <c r="F4" s="175" t="s">
        <v>51</v>
      </c>
      <c r="G4" s="146"/>
      <c r="H4" s="174">
        <v>45845</v>
      </c>
      <c r="I4" s="146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.75" customHeight="1">
      <c r="A5" s="17" t="s">
        <v>52</v>
      </c>
      <c r="B5" s="17" t="s">
        <v>53</v>
      </c>
      <c r="C5" s="17" t="s">
        <v>7</v>
      </c>
      <c r="D5" s="172" t="s">
        <v>54</v>
      </c>
      <c r="E5" s="146"/>
      <c r="F5" s="172" t="s">
        <v>55</v>
      </c>
      <c r="G5" s="146"/>
      <c r="H5" s="173" t="s">
        <v>48</v>
      </c>
      <c r="I5" s="146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>
      <c r="A6" s="18"/>
      <c r="B6" s="19"/>
      <c r="C6" s="20"/>
      <c r="D6" s="19"/>
      <c r="E6" s="19"/>
      <c r="F6" s="19"/>
      <c r="G6" s="19"/>
      <c r="H6" s="19"/>
      <c r="I6" s="19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>
      <c r="A7" s="21" t="s">
        <v>56</v>
      </c>
      <c r="B7" s="21" t="s">
        <v>57</v>
      </c>
      <c r="C7" s="21" t="s">
        <v>17</v>
      </c>
      <c r="D7" s="176" t="s">
        <v>58</v>
      </c>
      <c r="E7" s="146"/>
      <c r="F7" s="21" t="s">
        <v>59</v>
      </c>
      <c r="G7" s="21" t="s">
        <v>16</v>
      </c>
      <c r="H7" s="21" t="s">
        <v>60</v>
      </c>
      <c r="I7" s="21" t="s">
        <v>61</v>
      </c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.75" customHeight="1">
      <c r="A8" s="21">
        <v>1</v>
      </c>
      <c r="B8" s="22">
        <v>45840</v>
      </c>
      <c r="C8" s="21"/>
      <c r="D8" s="173" t="s">
        <v>254</v>
      </c>
      <c r="E8" s="146"/>
      <c r="F8" s="21"/>
      <c r="G8" s="23">
        <v>183000</v>
      </c>
      <c r="H8" s="17"/>
      <c r="I8" s="23">
        <f>G8</f>
        <v>183000</v>
      </c>
      <c r="J8" s="2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customHeight="1">
      <c r="A9" s="181" t="s">
        <v>76</v>
      </c>
      <c r="B9" s="182"/>
      <c r="C9" s="182"/>
      <c r="D9" s="182"/>
      <c r="E9" s="182"/>
      <c r="F9" s="180"/>
      <c r="G9" s="27">
        <f>SUM(G8)</f>
        <v>183000</v>
      </c>
      <c r="H9" s="28"/>
      <c r="I9" s="27">
        <f>SUM(I8)</f>
        <v>183000</v>
      </c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.75" customHeight="1">
      <c r="A11" s="178" t="s">
        <v>77</v>
      </c>
      <c r="B11" s="156"/>
      <c r="C11" s="178"/>
      <c r="D11" s="156"/>
      <c r="E11" s="178"/>
      <c r="F11" s="156"/>
      <c r="G11" s="178" t="s">
        <v>78</v>
      </c>
      <c r="H11" s="156"/>
      <c r="I11" s="15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.75" customHeight="1">
      <c r="A12" s="29"/>
      <c r="B12" s="29"/>
      <c r="C12" s="29"/>
      <c r="D12" s="30"/>
      <c r="E12" s="29"/>
      <c r="F12" s="30"/>
      <c r="G12" s="29"/>
      <c r="H12" s="30"/>
      <c r="I12" s="30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.75" customHeight="1">
      <c r="A13" s="29"/>
      <c r="B13" s="29"/>
      <c r="C13" s="29"/>
      <c r="D13" s="30"/>
      <c r="E13" s="29"/>
      <c r="F13" s="30"/>
      <c r="G13" s="29"/>
      <c r="H13" s="30"/>
      <c r="I13" s="30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.75" customHeight="1">
      <c r="A14" s="31"/>
      <c r="B14" s="31"/>
      <c r="C14" s="29"/>
      <c r="D14" s="31"/>
      <c r="E14" s="31"/>
      <c r="F14" s="31"/>
      <c r="G14" s="31"/>
      <c r="H14" s="31"/>
      <c r="I14" s="31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.75" customHeight="1">
      <c r="A15" s="31"/>
      <c r="B15" s="31"/>
      <c r="C15" s="29"/>
      <c r="D15" s="31"/>
      <c r="E15" s="31"/>
      <c r="F15" s="31"/>
      <c r="G15" s="31"/>
      <c r="H15" s="31"/>
      <c r="I15" s="31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.75" customHeight="1">
      <c r="A16" s="178" t="s">
        <v>79</v>
      </c>
      <c r="B16" s="156"/>
      <c r="C16" s="178"/>
      <c r="D16" s="156"/>
      <c r="E16" s="178"/>
      <c r="F16" s="156"/>
      <c r="G16" s="178" t="s">
        <v>119</v>
      </c>
      <c r="H16" s="156"/>
      <c r="I16" s="15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D7:E7"/>
    <mergeCell ref="D8:E8"/>
    <mergeCell ref="E16:F16"/>
    <mergeCell ref="G16:I16"/>
    <mergeCell ref="A9:F9"/>
    <mergeCell ref="A11:B11"/>
    <mergeCell ref="C11:D11"/>
    <mergeCell ref="E11:F11"/>
    <mergeCell ref="G11:I11"/>
    <mergeCell ref="A16:B16"/>
    <mergeCell ref="C16:D16"/>
    <mergeCell ref="A4:B4"/>
    <mergeCell ref="H4:I4"/>
    <mergeCell ref="C4:E4"/>
    <mergeCell ref="F4:G4"/>
    <mergeCell ref="D5:E5"/>
    <mergeCell ref="F5:G5"/>
    <mergeCell ref="H5:I5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Z1000"/>
  <sheetViews>
    <sheetView workbookViewId="0"/>
  </sheetViews>
  <sheetFormatPr defaultColWidth="12.6640625" defaultRowHeight="15" customHeight="1"/>
  <cols>
    <col min="1" max="1" width="12.6640625" customWidth="1"/>
    <col min="2" max="2" width="23.6640625" customWidth="1"/>
    <col min="3" max="4" width="12.6640625" customWidth="1"/>
    <col min="5" max="5" width="22.44140625" customWidth="1"/>
    <col min="6" max="6" width="12.6640625" customWidth="1"/>
  </cols>
  <sheetData>
    <row r="1" spans="1:26" ht="15.75" customHeight="1">
      <c r="A1" s="226" t="s">
        <v>44</v>
      </c>
      <c r="B1" s="156"/>
      <c r="C1" s="156"/>
      <c r="D1" s="156"/>
      <c r="E1" s="156"/>
      <c r="F1" s="156"/>
      <c r="G1" s="156"/>
      <c r="H1" s="156"/>
      <c r="I1" s="15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23.25" customHeight="1">
      <c r="A2" s="107"/>
      <c r="B2" s="107"/>
      <c r="C2" s="108"/>
      <c r="D2" s="13"/>
      <c r="E2" s="13"/>
      <c r="F2" s="107"/>
      <c r="G2" s="107"/>
      <c r="H2" s="227" t="s">
        <v>45</v>
      </c>
      <c r="I2" s="15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5.75" customHeight="1">
      <c r="A3" s="228" t="s">
        <v>46</v>
      </c>
      <c r="B3" s="146"/>
      <c r="C3" s="228" t="s">
        <v>255</v>
      </c>
      <c r="D3" s="145"/>
      <c r="E3" s="146"/>
      <c r="F3" s="228" t="s">
        <v>14</v>
      </c>
      <c r="G3" s="146"/>
      <c r="H3" s="229" t="s">
        <v>48</v>
      </c>
      <c r="I3" s="14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5.75" customHeight="1">
      <c r="A4" s="228" t="s">
        <v>49</v>
      </c>
      <c r="B4" s="146"/>
      <c r="C4" s="228" t="s">
        <v>256</v>
      </c>
      <c r="D4" s="145"/>
      <c r="E4" s="146"/>
      <c r="F4" s="231" t="s">
        <v>51</v>
      </c>
      <c r="G4" s="146"/>
      <c r="H4" s="230">
        <v>45823</v>
      </c>
      <c r="I4" s="14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15.75" customHeight="1">
      <c r="A5" s="109" t="s">
        <v>52</v>
      </c>
      <c r="B5" s="109" t="s">
        <v>53</v>
      </c>
      <c r="C5" s="109" t="s">
        <v>7</v>
      </c>
      <c r="D5" s="172" t="s">
        <v>257</v>
      </c>
      <c r="E5" s="146"/>
      <c r="F5" s="228" t="s">
        <v>55</v>
      </c>
      <c r="G5" s="146"/>
      <c r="H5" s="229" t="s">
        <v>48</v>
      </c>
      <c r="I5" s="14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15.75" customHeight="1">
      <c r="A6" s="110"/>
      <c r="B6" s="110"/>
      <c r="C6" s="111"/>
      <c r="D6" s="112"/>
      <c r="E6" s="112"/>
      <c r="F6" s="110"/>
      <c r="G6" s="110"/>
      <c r="H6" s="110"/>
      <c r="I6" s="110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15.75" customHeight="1">
      <c r="A7" s="111" t="s">
        <v>56</v>
      </c>
      <c r="B7" s="111" t="s">
        <v>57</v>
      </c>
      <c r="C7" s="111" t="s">
        <v>17</v>
      </c>
      <c r="D7" s="176" t="s">
        <v>58</v>
      </c>
      <c r="E7" s="146"/>
      <c r="F7" s="111" t="s">
        <v>59</v>
      </c>
      <c r="G7" s="111" t="s">
        <v>16</v>
      </c>
      <c r="H7" s="111" t="s">
        <v>60</v>
      </c>
      <c r="I7" s="111" t="s">
        <v>61</v>
      </c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15.75" customHeight="1">
      <c r="A8" s="111">
        <v>1</v>
      </c>
      <c r="B8" s="111" t="s">
        <v>258</v>
      </c>
      <c r="C8" s="111" t="s">
        <v>259</v>
      </c>
      <c r="D8" s="173" t="s">
        <v>260</v>
      </c>
      <c r="E8" s="146"/>
      <c r="F8" s="111"/>
      <c r="G8" s="113">
        <v>981819</v>
      </c>
      <c r="H8" s="109"/>
      <c r="I8" s="113">
        <v>981819</v>
      </c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5.75" customHeight="1">
      <c r="A9" s="111">
        <v>2</v>
      </c>
      <c r="B9" s="114">
        <v>45818</v>
      </c>
      <c r="C9" s="111" t="s">
        <v>261</v>
      </c>
      <c r="D9" s="173" t="s">
        <v>262</v>
      </c>
      <c r="E9" s="146"/>
      <c r="F9" s="111"/>
      <c r="G9" s="115">
        <v>244000</v>
      </c>
      <c r="H9" s="109"/>
      <c r="I9" s="115">
        <v>244000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5.75" customHeight="1">
      <c r="A10" s="111">
        <v>3</v>
      </c>
      <c r="B10" s="116">
        <v>45822</v>
      </c>
      <c r="C10" s="111" t="s">
        <v>263</v>
      </c>
      <c r="D10" s="173" t="s">
        <v>264</v>
      </c>
      <c r="E10" s="146"/>
      <c r="F10" s="111"/>
      <c r="G10" s="115">
        <v>235000</v>
      </c>
      <c r="H10" s="109"/>
      <c r="I10" s="115">
        <v>235000</v>
      </c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5.75" customHeight="1">
      <c r="A11" s="233" t="s">
        <v>76</v>
      </c>
      <c r="B11" s="145"/>
      <c r="C11" s="145"/>
      <c r="D11" s="145"/>
      <c r="E11" s="145"/>
      <c r="F11" s="146"/>
      <c r="G11" s="117">
        <f>SUM(G8:G10)</f>
        <v>1460819</v>
      </c>
      <c r="H11" s="118"/>
      <c r="I11" s="117">
        <f>SUM(I8:I10)</f>
        <v>1460819</v>
      </c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5.75" customHeight="1">
      <c r="A12" s="232" t="s">
        <v>77</v>
      </c>
      <c r="B12" s="156"/>
      <c r="C12" s="232"/>
      <c r="D12" s="156"/>
      <c r="E12" s="178"/>
      <c r="F12" s="156"/>
      <c r="G12" s="232" t="s">
        <v>78</v>
      </c>
      <c r="H12" s="156"/>
      <c r="I12" s="15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5.75" customHeight="1">
      <c r="A13" s="119"/>
      <c r="B13" s="119"/>
      <c r="C13" s="119"/>
      <c r="D13" s="30"/>
      <c r="E13" s="29"/>
      <c r="F13" s="120"/>
      <c r="G13" s="119"/>
      <c r="H13" s="120"/>
      <c r="I13" s="120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5.75" customHeight="1">
      <c r="A14" s="119"/>
      <c r="B14" s="119"/>
      <c r="D14" s="30"/>
      <c r="E14" s="29"/>
      <c r="F14" s="120"/>
      <c r="G14" s="119"/>
      <c r="H14" s="120"/>
      <c r="I14" s="120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5.75" customHeight="1">
      <c r="A15" s="121"/>
      <c r="B15" s="121"/>
      <c r="C15" s="119"/>
      <c r="D15" s="31"/>
      <c r="E15" s="31"/>
      <c r="F15" s="121"/>
      <c r="G15" s="121"/>
      <c r="H15" s="121"/>
      <c r="I15" s="121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5.75" customHeight="1">
      <c r="A16" s="121"/>
      <c r="B16" s="121"/>
      <c r="C16" s="119"/>
      <c r="D16" s="31"/>
      <c r="E16" s="31"/>
      <c r="F16" s="121"/>
      <c r="G16" s="121"/>
      <c r="H16" s="121"/>
      <c r="I16" s="121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5.75" customHeight="1">
      <c r="A17" s="232" t="s">
        <v>79</v>
      </c>
      <c r="B17" s="156"/>
      <c r="C17" s="232"/>
      <c r="D17" s="156"/>
      <c r="E17" s="178"/>
      <c r="F17" s="156"/>
      <c r="G17" s="232" t="s">
        <v>255</v>
      </c>
      <c r="H17" s="156"/>
      <c r="I17" s="15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5.75" customHeight="1">
      <c r="A18" s="106"/>
      <c r="B18" s="106"/>
      <c r="C18" s="106"/>
      <c r="D18" s="14"/>
      <c r="E18" s="14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5.75" customHeight="1">
      <c r="A19" s="106"/>
      <c r="B19" s="106"/>
      <c r="C19" s="106"/>
      <c r="D19" s="14"/>
      <c r="E19" s="14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5.75" customHeight="1">
      <c r="A20" s="106"/>
      <c r="B20" s="106"/>
      <c r="C20" s="106"/>
      <c r="D20" s="14"/>
      <c r="E20" s="14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5.75" customHeight="1">
      <c r="A21" s="106"/>
      <c r="B21" s="106"/>
      <c r="C21" s="106"/>
      <c r="D21" s="14"/>
      <c r="E21" s="14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5.75" customHeight="1">
      <c r="A22" s="106"/>
      <c r="B22" s="106"/>
      <c r="C22" s="106"/>
      <c r="D22" s="14"/>
      <c r="E22" s="14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5.75" customHeight="1">
      <c r="A23" s="106"/>
      <c r="B23" s="106"/>
      <c r="C23" s="106"/>
      <c r="D23" s="14"/>
      <c r="E23" s="14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5.75" customHeight="1">
      <c r="A24" s="106"/>
      <c r="B24" s="106"/>
      <c r="C24" s="106"/>
      <c r="D24" s="14"/>
      <c r="E24" s="14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5.75" customHeight="1">
      <c r="A25" s="106"/>
      <c r="B25" s="106"/>
      <c r="C25" s="106"/>
      <c r="D25" s="14"/>
      <c r="E25" s="14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5.75" customHeight="1">
      <c r="A26" s="106"/>
      <c r="B26" s="106"/>
      <c r="C26" s="106"/>
      <c r="D26" s="14"/>
      <c r="E26" s="14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5.75" customHeight="1">
      <c r="A27" s="106"/>
      <c r="B27" s="106"/>
      <c r="C27" s="106"/>
      <c r="D27" s="14"/>
      <c r="E27" s="14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5.75" customHeight="1">
      <c r="A28" s="106"/>
      <c r="B28" s="106"/>
      <c r="C28" s="106"/>
      <c r="D28" s="14"/>
      <c r="E28" s="14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5.75" customHeight="1">
      <c r="A29" s="106"/>
      <c r="B29" s="106"/>
      <c r="C29" s="106"/>
      <c r="D29" s="14"/>
      <c r="E29" s="14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5.75" customHeight="1">
      <c r="A30" s="106"/>
      <c r="B30" s="106"/>
      <c r="C30" s="106"/>
      <c r="D30" s="14"/>
      <c r="E30" s="14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5.75" customHeight="1">
      <c r="A31" s="106"/>
      <c r="B31" s="106"/>
      <c r="C31" s="106"/>
      <c r="D31" s="14"/>
      <c r="E31" s="14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5.75" customHeight="1">
      <c r="A32" s="106"/>
      <c r="B32" s="106"/>
      <c r="C32" s="106"/>
      <c r="D32" s="14"/>
      <c r="E32" s="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5.75" customHeight="1">
      <c r="A33" s="106"/>
      <c r="B33" s="106"/>
      <c r="C33" s="106"/>
      <c r="D33" s="14"/>
      <c r="E33" s="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5.75" customHeight="1">
      <c r="A34" s="106"/>
      <c r="B34" s="106"/>
      <c r="C34" s="106"/>
      <c r="D34" s="14"/>
      <c r="E34" s="14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5.75" customHeight="1">
      <c r="A35" s="106"/>
      <c r="B35" s="106"/>
      <c r="C35" s="106"/>
      <c r="D35" s="14"/>
      <c r="E35" s="14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5.75" customHeight="1">
      <c r="A36" s="106"/>
      <c r="B36" s="106"/>
      <c r="C36" s="106"/>
      <c r="D36" s="14"/>
      <c r="E36" s="14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5.75" customHeight="1">
      <c r="A37" s="106"/>
      <c r="B37" s="106"/>
      <c r="C37" s="106"/>
      <c r="D37" s="14"/>
      <c r="E37" s="14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5.75" customHeight="1">
      <c r="A38" s="106"/>
      <c r="B38" s="106"/>
      <c r="C38" s="106"/>
      <c r="D38" s="14"/>
      <c r="E38" s="14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5.75" customHeight="1">
      <c r="A39" s="106"/>
      <c r="B39" s="106"/>
      <c r="C39" s="106"/>
      <c r="D39" s="14"/>
      <c r="E39" s="14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5.75" customHeight="1">
      <c r="A40" s="106"/>
      <c r="B40" s="106"/>
      <c r="C40" s="106"/>
      <c r="D40" s="14"/>
      <c r="E40" s="14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5.75" customHeight="1">
      <c r="A41" s="106"/>
      <c r="B41" s="106"/>
      <c r="C41" s="106"/>
      <c r="D41" s="14"/>
      <c r="E41" s="14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5.75" customHeight="1">
      <c r="A42" s="106"/>
      <c r="B42" s="106"/>
      <c r="C42" s="106"/>
      <c r="D42" s="14"/>
      <c r="E42" s="14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5.75" customHeight="1">
      <c r="A43" s="106"/>
      <c r="B43" s="106"/>
      <c r="C43" s="106"/>
      <c r="D43" s="14"/>
      <c r="E43" s="14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5.75" customHeight="1">
      <c r="A44" s="106"/>
      <c r="B44" s="106"/>
      <c r="C44" s="106"/>
      <c r="D44" s="14"/>
      <c r="E44" s="14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5.75" customHeight="1">
      <c r="A45" s="106"/>
      <c r="B45" s="106"/>
      <c r="C45" s="106"/>
      <c r="D45" s="14"/>
      <c r="E45" s="14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5.75" customHeight="1">
      <c r="A46" s="106"/>
      <c r="B46" s="106"/>
      <c r="C46" s="106"/>
      <c r="D46" s="14"/>
      <c r="E46" s="14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5.75" customHeight="1">
      <c r="A47" s="106"/>
      <c r="B47" s="106"/>
      <c r="C47" s="106"/>
      <c r="D47" s="14"/>
      <c r="E47" s="14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5.75" customHeight="1">
      <c r="A48" s="106"/>
      <c r="B48" s="106"/>
      <c r="C48" s="106"/>
      <c r="D48" s="14"/>
      <c r="E48" s="14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5.75" customHeight="1">
      <c r="A49" s="106"/>
      <c r="B49" s="106"/>
      <c r="C49" s="106"/>
      <c r="D49" s="14"/>
      <c r="E49" s="14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5.75" customHeight="1">
      <c r="A50" s="106"/>
      <c r="B50" s="106"/>
      <c r="C50" s="106"/>
      <c r="D50" s="14"/>
      <c r="E50" s="14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5.75" customHeight="1">
      <c r="A51" s="106"/>
      <c r="B51" s="106"/>
      <c r="C51" s="106"/>
      <c r="D51" s="14"/>
      <c r="E51" s="14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5.75" customHeight="1">
      <c r="A52" s="106"/>
      <c r="B52" s="106"/>
      <c r="C52" s="106"/>
      <c r="D52" s="14"/>
      <c r="E52" s="14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5.75" customHeight="1">
      <c r="A53" s="106"/>
      <c r="B53" s="106"/>
      <c r="C53" s="106"/>
      <c r="D53" s="14"/>
      <c r="E53" s="14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5.75" customHeight="1">
      <c r="A54" s="106"/>
      <c r="B54" s="106"/>
      <c r="C54" s="106"/>
      <c r="D54" s="14"/>
      <c r="E54" s="14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5.75" customHeight="1">
      <c r="A55" s="106"/>
      <c r="B55" s="106"/>
      <c r="C55" s="106"/>
      <c r="D55" s="14"/>
      <c r="E55" s="14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5.75" customHeight="1">
      <c r="A56" s="106"/>
      <c r="B56" s="106"/>
      <c r="C56" s="106"/>
      <c r="D56" s="14"/>
      <c r="E56" s="14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5.75" customHeight="1">
      <c r="A57" s="106"/>
      <c r="B57" s="106"/>
      <c r="C57" s="106"/>
      <c r="D57" s="14"/>
      <c r="E57" s="14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5.75" customHeight="1">
      <c r="A58" s="106"/>
      <c r="B58" s="106"/>
      <c r="C58" s="106"/>
      <c r="D58" s="14"/>
      <c r="E58" s="14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5.75" customHeight="1">
      <c r="A59" s="106"/>
      <c r="B59" s="106"/>
      <c r="C59" s="106"/>
      <c r="D59" s="14"/>
      <c r="E59" s="14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5.75" customHeight="1">
      <c r="A60" s="106"/>
      <c r="B60" s="106"/>
      <c r="C60" s="106"/>
      <c r="D60" s="14"/>
      <c r="E60" s="14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5.75" customHeight="1">
      <c r="A61" s="106"/>
      <c r="B61" s="106"/>
      <c r="C61" s="106"/>
      <c r="D61" s="14"/>
      <c r="E61" s="14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5.75" customHeight="1">
      <c r="A62" s="106"/>
      <c r="B62" s="106"/>
      <c r="C62" s="106"/>
      <c r="D62" s="14"/>
      <c r="E62" s="14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5.75" customHeight="1">
      <c r="A63" s="106"/>
      <c r="B63" s="106"/>
      <c r="C63" s="106"/>
      <c r="D63" s="14"/>
      <c r="E63" s="14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5.75" customHeight="1">
      <c r="A64" s="106"/>
      <c r="B64" s="106"/>
      <c r="C64" s="106"/>
      <c r="D64" s="14"/>
      <c r="E64" s="14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5.75" customHeight="1">
      <c r="A65" s="106"/>
      <c r="B65" s="106"/>
      <c r="C65" s="106"/>
      <c r="D65" s="14"/>
      <c r="E65" s="14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5.75" customHeight="1">
      <c r="A66" s="106"/>
      <c r="B66" s="106"/>
      <c r="C66" s="106"/>
      <c r="D66" s="14"/>
      <c r="E66" s="14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5.75" customHeight="1">
      <c r="A67" s="106"/>
      <c r="B67" s="106"/>
      <c r="C67" s="106"/>
      <c r="D67" s="14"/>
      <c r="E67" s="14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5.75" customHeight="1">
      <c r="A68" s="106"/>
      <c r="B68" s="106"/>
      <c r="C68" s="106"/>
      <c r="D68" s="14"/>
      <c r="E68" s="14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5.75" customHeight="1">
      <c r="A69" s="106"/>
      <c r="B69" s="106"/>
      <c r="C69" s="106"/>
      <c r="D69" s="14"/>
      <c r="E69" s="14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5.75" customHeight="1">
      <c r="A70" s="106"/>
      <c r="B70" s="106"/>
      <c r="C70" s="106"/>
      <c r="D70" s="14"/>
      <c r="E70" s="14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5.75" customHeight="1">
      <c r="A71" s="106"/>
      <c r="B71" s="106"/>
      <c r="C71" s="106"/>
      <c r="D71" s="14"/>
      <c r="E71" s="14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5.75" customHeight="1">
      <c r="A72" s="106"/>
      <c r="B72" s="106"/>
      <c r="C72" s="106"/>
      <c r="D72" s="14"/>
      <c r="E72" s="14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5.75" customHeight="1">
      <c r="A73" s="106"/>
      <c r="B73" s="106"/>
      <c r="C73" s="106"/>
      <c r="D73" s="14"/>
      <c r="E73" s="14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5.75" customHeight="1">
      <c r="A74" s="106"/>
      <c r="B74" s="106"/>
      <c r="C74" s="106"/>
      <c r="D74" s="14"/>
      <c r="E74" s="14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5.75" customHeight="1">
      <c r="A75" s="106"/>
      <c r="B75" s="106"/>
      <c r="C75" s="106"/>
      <c r="D75" s="14"/>
      <c r="E75" s="14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5.75" customHeight="1">
      <c r="A76" s="106"/>
      <c r="B76" s="106"/>
      <c r="C76" s="106"/>
      <c r="D76" s="14"/>
      <c r="E76" s="14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5.75" customHeight="1">
      <c r="A77" s="106"/>
      <c r="B77" s="106"/>
      <c r="C77" s="106"/>
      <c r="D77" s="14"/>
      <c r="E77" s="14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5.75" customHeight="1">
      <c r="A78" s="106"/>
      <c r="B78" s="106"/>
      <c r="C78" s="106"/>
      <c r="D78" s="14"/>
      <c r="E78" s="14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5.75" customHeight="1">
      <c r="A79" s="106"/>
      <c r="B79" s="106"/>
      <c r="C79" s="106"/>
      <c r="D79" s="14"/>
      <c r="E79" s="14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5.75" customHeight="1">
      <c r="A80" s="106"/>
      <c r="B80" s="106"/>
      <c r="C80" s="106"/>
      <c r="D80" s="14"/>
      <c r="E80" s="14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5.75" customHeight="1">
      <c r="A81" s="106"/>
      <c r="B81" s="106"/>
      <c r="C81" s="106"/>
      <c r="D81" s="14"/>
      <c r="E81" s="14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5.75" customHeight="1">
      <c r="A82" s="106"/>
      <c r="B82" s="106"/>
      <c r="C82" s="106"/>
      <c r="D82" s="14"/>
      <c r="E82" s="14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5.75" customHeight="1">
      <c r="A83" s="106"/>
      <c r="B83" s="106"/>
      <c r="C83" s="106"/>
      <c r="D83" s="14"/>
      <c r="E83" s="14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5.75" customHeight="1">
      <c r="A84" s="106"/>
      <c r="B84" s="106"/>
      <c r="C84" s="106"/>
      <c r="D84" s="14"/>
      <c r="E84" s="14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5.75" customHeight="1">
      <c r="A85" s="106"/>
      <c r="B85" s="106"/>
      <c r="C85" s="106"/>
      <c r="D85" s="14"/>
      <c r="E85" s="14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5.75" customHeight="1">
      <c r="A86" s="106"/>
      <c r="B86" s="106"/>
      <c r="C86" s="106"/>
      <c r="D86" s="14"/>
      <c r="E86" s="14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5.75" customHeight="1">
      <c r="A87" s="106"/>
      <c r="B87" s="106"/>
      <c r="C87" s="106"/>
      <c r="D87" s="14"/>
      <c r="E87" s="14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5.75" customHeight="1">
      <c r="A88" s="106"/>
      <c r="B88" s="106"/>
      <c r="C88" s="106"/>
      <c r="D88" s="14"/>
      <c r="E88" s="14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5.75" customHeight="1">
      <c r="A89" s="106"/>
      <c r="B89" s="106"/>
      <c r="C89" s="106"/>
      <c r="D89" s="14"/>
      <c r="E89" s="14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5.75" customHeight="1">
      <c r="A90" s="106"/>
      <c r="B90" s="106"/>
      <c r="C90" s="106"/>
      <c r="D90" s="14"/>
      <c r="E90" s="14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5.75" customHeight="1">
      <c r="A91" s="106"/>
      <c r="B91" s="106"/>
      <c r="C91" s="106"/>
      <c r="D91" s="14"/>
      <c r="E91" s="14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5.75" customHeight="1">
      <c r="A92" s="106"/>
      <c r="B92" s="106"/>
      <c r="C92" s="106"/>
      <c r="D92" s="14"/>
      <c r="E92" s="14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5.75" customHeight="1">
      <c r="A93" s="106"/>
      <c r="B93" s="106"/>
      <c r="C93" s="106"/>
      <c r="D93" s="14"/>
      <c r="E93" s="14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5.75" customHeight="1">
      <c r="A94" s="106"/>
      <c r="B94" s="106"/>
      <c r="C94" s="106"/>
      <c r="D94" s="14"/>
      <c r="E94" s="14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5.75" customHeight="1">
      <c r="A95" s="106"/>
      <c r="B95" s="106"/>
      <c r="C95" s="106"/>
      <c r="D95" s="14"/>
      <c r="E95" s="14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5.75" customHeight="1">
      <c r="A96" s="106"/>
      <c r="B96" s="106"/>
      <c r="C96" s="106"/>
      <c r="D96" s="14"/>
      <c r="E96" s="14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5.75" customHeight="1">
      <c r="A97" s="106"/>
      <c r="B97" s="106"/>
      <c r="C97" s="106"/>
      <c r="D97" s="14"/>
      <c r="E97" s="14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5.75" customHeight="1">
      <c r="A98" s="106"/>
      <c r="B98" s="106"/>
      <c r="C98" s="106"/>
      <c r="D98" s="14"/>
      <c r="E98" s="14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5.75" customHeight="1">
      <c r="A99" s="106"/>
      <c r="B99" s="106"/>
      <c r="C99" s="106"/>
      <c r="D99" s="14"/>
      <c r="E99" s="14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5.75" customHeight="1">
      <c r="A100" s="106"/>
      <c r="B100" s="106"/>
      <c r="C100" s="106"/>
      <c r="D100" s="14"/>
      <c r="E100" s="14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5.75" customHeight="1">
      <c r="A101" s="106"/>
      <c r="B101" s="106"/>
      <c r="C101" s="106"/>
      <c r="D101" s="14"/>
      <c r="E101" s="14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5.75" customHeight="1">
      <c r="A102" s="106"/>
      <c r="B102" s="106"/>
      <c r="C102" s="106"/>
      <c r="D102" s="14"/>
      <c r="E102" s="14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5.75" customHeight="1">
      <c r="A103" s="106"/>
      <c r="B103" s="106"/>
      <c r="C103" s="106"/>
      <c r="D103" s="14"/>
      <c r="E103" s="14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5.75" customHeight="1">
      <c r="A104" s="106"/>
      <c r="B104" s="106"/>
      <c r="C104" s="106"/>
      <c r="D104" s="14"/>
      <c r="E104" s="14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5.75" customHeight="1">
      <c r="A105" s="106"/>
      <c r="B105" s="106"/>
      <c r="C105" s="106"/>
      <c r="D105" s="14"/>
      <c r="E105" s="14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5.75" customHeight="1">
      <c r="A106" s="106"/>
      <c r="B106" s="106"/>
      <c r="C106" s="106"/>
      <c r="D106" s="14"/>
      <c r="E106" s="14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5.75" customHeight="1">
      <c r="A107" s="106"/>
      <c r="B107" s="106"/>
      <c r="C107" s="106"/>
      <c r="D107" s="14"/>
      <c r="E107" s="14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5.75" customHeight="1">
      <c r="A108" s="106"/>
      <c r="B108" s="106"/>
      <c r="C108" s="106"/>
      <c r="D108" s="14"/>
      <c r="E108" s="14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5.75" customHeight="1">
      <c r="A109" s="106"/>
      <c r="B109" s="106"/>
      <c r="C109" s="106"/>
      <c r="D109" s="14"/>
      <c r="E109" s="14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5.75" customHeight="1">
      <c r="A110" s="106"/>
      <c r="B110" s="106"/>
      <c r="C110" s="106"/>
      <c r="D110" s="14"/>
      <c r="E110" s="14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5.75" customHeight="1">
      <c r="A111" s="106"/>
      <c r="B111" s="106"/>
      <c r="C111" s="106"/>
      <c r="D111" s="14"/>
      <c r="E111" s="14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5.75" customHeight="1">
      <c r="A112" s="106"/>
      <c r="B112" s="106"/>
      <c r="C112" s="106"/>
      <c r="D112" s="14"/>
      <c r="E112" s="14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5.75" customHeight="1">
      <c r="A113" s="106"/>
      <c r="B113" s="106"/>
      <c r="C113" s="106"/>
      <c r="D113" s="14"/>
      <c r="E113" s="14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5.75" customHeight="1">
      <c r="A114" s="106"/>
      <c r="B114" s="106"/>
      <c r="C114" s="106"/>
      <c r="D114" s="14"/>
      <c r="E114" s="14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5.75" customHeight="1">
      <c r="A115" s="106"/>
      <c r="B115" s="106"/>
      <c r="C115" s="106"/>
      <c r="D115" s="14"/>
      <c r="E115" s="14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5.75" customHeight="1">
      <c r="A116" s="106"/>
      <c r="B116" s="106"/>
      <c r="C116" s="106"/>
      <c r="D116" s="14"/>
      <c r="E116" s="14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5.75" customHeight="1">
      <c r="A117" s="106"/>
      <c r="B117" s="106"/>
      <c r="C117" s="106"/>
      <c r="D117" s="14"/>
      <c r="E117" s="14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5.75" customHeight="1">
      <c r="A118" s="106"/>
      <c r="B118" s="106"/>
      <c r="C118" s="106"/>
      <c r="D118" s="14"/>
      <c r="E118" s="14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5.75" customHeight="1">
      <c r="A119" s="106"/>
      <c r="B119" s="106"/>
      <c r="C119" s="106"/>
      <c r="D119" s="14"/>
      <c r="E119" s="14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5.75" customHeight="1">
      <c r="A120" s="106"/>
      <c r="B120" s="106"/>
      <c r="C120" s="106"/>
      <c r="D120" s="14"/>
      <c r="E120" s="14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5.75" customHeight="1">
      <c r="A121" s="106"/>
      <c r="B121" s="106"/>
      <c r="C121" s="106"/>
      <c r="D121" s="14"/>
      <c r="E121" s="14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5.75" customHeight="1">
      <c r="A122" s="106"/>
      <c r="B122" s="106"/>
      <c r="C122" s="106"/>
      <c r="D122" s="14"/>
      <c r="E122" s="14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5.75" customHeight="1">
      <c r="A123" s="106"/>
      <c r="B123" s="106"/>
      <c r="C123" s="106"/>
      <c r="D123" s="14"/>
      <c r="E123" s="14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5.75" customHeight="1">
      <c r="A124" s="106"/>
      <c r="B124" s="106"/>
      <c r="C124" s="106"/>
      <c r="D124" s="14"/>
      <c r="E124" s="14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5.75" customHeight="1">
      <c r="A125" s="106"/>
      <c r="B125" s="106"/>
      <c r="C125" s="106"/>
      <c r="D125" s="14"/>
      <c r="E125" s="14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5.75" customHeight="1">
      <c r="A126" s="106"/>
      <c r="B126" s="106"/>
      <c r="C126" s="106"/>
      <c r="D126" s="14"/>
      <c r="E126" s="14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5.75" customHeight="1">
      <c r="A127" s="106"/>
      <c r="B127" s="106"/>
      <c r="C127" s="106"/>
      <c r="D127" s="14"/>
      <c r="E127" s="14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5.75" customHeight="1">
      <c r="A128" s="106"/>
      <c r="B128" s="106"/>
      <c r="C128" s="106"/>
      <c r="D128" s="14"/>
      <c r="E128" s="14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5.75" customHeight="1">
      <c r="A129" s="106"/>
      <c r="B129" s="106"/>
      <c r="C129" s="106"/>
      <c r="D129" s="14"/>
      <c r="E129" s="14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5.75" customHeight="1">
      <c r="A130" s="106"/>
      <c r="B130" s="106"/>
      <c r="C130" s="106"/>
      <c r="D130" s="14"/>
      <c r="E130" s="14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5.75" customHeight="1">
      <c r="A131" s="106"/>
      <c r="B131" s="106"/>
      <c r="C131" s="106"/>
      <c r="D131" s="14"/>
      <c r="E131" s="14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5.75" customHeight="1">
      <c r="A132" s="106"/>
      <c r="B132" s="106"/>
      <c r="C132" s="106"/>
      <c r="D132" s="14"/>
      <c r="E132" s="14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5.75" customHeight="1">
      <c r="A133" s="106"/>
      <c r="B133" s="106"/>
      <c r="C133" s="106"/>
      <c r="D133" s="14"/>
      <c r="E133" s="14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5.75" customHeight="1">
      <c r="A134" s="106"/>
      <c r="B134" s="106"/>
      <c r="C134" s="106"/>
      <c r="D134" s="14"/>
      <c r="E134" s="14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5.75" customHeight="1">
      <c r="A135" s="106"/>
      <c r="B135" s="106"/>
      <c r="C135" s="106"/>
      <c r="D135" s="14"/>
      <c r="E135" s="14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5.75" customHeight="1">
      <c r="A136" s="106"/>
      <c r="B136" s="106"/>
      <c r="C136" s="106"/>
      <c r="D136" s="14"/>
      <c r="E136" s="14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5.75" customHeight="1">
      <c r="A137" s="106"/>
      <c r="B137" s="106"/>
      <c r="C137" s="106"/>
      <c r="D137" s="14"/>
      <c r="E137" s="14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5.75" customHeight="1">
      <c r="A138" s="106"/>
      <c r="B138" s="106"/>
      <c r="C138" s="106"/>
      <c r="D138" s="14"/>
      <c r="E138" s="14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5.75" customHeight="1">
      <c r="A139" s="106"/>
      <c r="B139" s="106"/>
      <c r="C139" s="106"/>
      <c r="D139" s="14"/>
      <c r="E139" s="14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5.75" customHeight="1">
      <c r="A140" s="106"/>
      <c r="B140" s="106"/>
      <c r="C140" s="106"/>
      <c r="D140" s="14"/>
      <c r="E140" s="14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5.75" customHeight="1">
      <c r="A141" s="106"/>
      <c r="B141" s="106"/>
      <c r="C141" s="106"/>
      <c r="D141" s="14"/>
      <c r="E141" s="14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5.75" customHeight="1">
      <c r="A142" s="106"/>
      <c r="B142" s="106"/>
      <c r="C142" s="106"/>
      <c r="D142" s="14"/>
      <c r="E142" s="14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5.75" customHeight="1">
      <c r="A143" s="106"/>
      <c r="B143" s="106"/>
      <c r="C143" s="106"/>
      <c r="D143" s="14"/>
      <c r="E143" s="14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5.75" customHeight="1">
      <c r="A144" s="106"/>
      <c r="B144" s="106"/>
      <c r="C144" s="106"/>
      <c r="D144" s="14"/>
      <c r="E144" s="14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5.75" customHeight="1">
      <c r="A145" s="106"/>
      <c r="B145" s="106"/>
      <c r="C145" s="106"/>
      <c r="D145" s="14"/>
      <c r="E145" s="14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5.75" customHeight="1">
      <c r="A146" s="106"/>
      <c r="B146" s="106"/>
      <c r="C146" s="106"/>
      <c r="D146" s="14"/>
      <c r="E146" s="14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5.75" customHeight="1">
      <c r="A147" s="106"/>
      <c r="B147" s="106"/>
      <c r="C147" s="106"/>
      <c r="D147" s="14"/>
      <c r="E147" s="14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5.75" customHeight="1">
      <c r="A148" s="106"/>
      <c r="B148" s="106"/>
      <c r="C148" s="106"/>
      <c r="D148" s="14"/>
      <c r="E148" s="14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5.75" customHeight="1">
      <c r="A149" s="106"/>
      <c r="B149" s="106"/>
      <c r="C149" s="106"/>
      <c r="D149" s="14"/>
      <c r="E149" s="14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5.75" customHeight="1">
      <c r="A150" s="106"/>
      <c r="B150" s="106"/>
      <c r="C150" s="106"/>
      <c r="D150" s="14"/>
      <c r="E150" s="14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5.75" customHeight="1">
      <c r="A151" s="106"/>
      <c r="B151" s="106"/>
      <c r="C151" s="106"/>
      <c r="D151" s="14"/>
      <c r="E151" s="14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5.75" customHeight="1">
      <c r="A152" s="106"/>
      <c r="B152" s="106"/>
      <c r="C152" s="106"/>
      <c r="D152" s="14"/>
      <c r="E152" s="14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5.75" customHeight="1">
      <c r="A153" s="106"/>
      <c r="B153" s="106"/>
      <c r="C153" s="106"/>
      <c r="D153" s="14"/>
      <c r="E153" s="14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5.75" customHeight="1">
      <c r="A154" s="106"/>
      <c r="B154" s="106"/>
      <c r="C154" s="106"/>
      <c r="D154" s="14"/>
      <c r="E154" s="14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5.75" customHeight="1">
      <c r="A155" s="106"/>
      <c r="B155" s="106"/>
      <c r="C155" s="106"/>
      <c r="D155" s="14"/>
      <c r="E155" s="14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5.75" customHeight="1">
      <c r="A156" s="106"/>
      <c r="B156" s="106"/>
      <c r="C156" s="106"/>
      <c r="D156" s="14"/>
      <c r="E156" s="14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5.75" customHeight="1">
      <c r="A157" s="106"/>
      <c r="B157" s="106"/>
      <c r="C157" s="106"/>
      <c r="D157" s="14"/>
      <c r="E157" s="14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5.75" customHeight="1">
      <c r="A158" s="106"/>
      <c r="B158" s="106"/>
      <c r="C158" s="106"/>
      <c r="D158" s="14"/>
      <c r="E158" s="14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5.75" customHeight="1">
      <c r="A159" s="106"/>
      <c r="B159" s="106"/>
      <c r="C159" s="106"/>
      <c r="D159" s="14"/>
      <c r="E159" s="14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5.75" customHeight="1">
      <c r="A160" s="106"/>
      <c r="B160" s="106"/>
      <c r="C160" s="106"/>
      <c r="D160" s="14"/>
      <c r="E160" s="14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5.75" customHeight="1">
      <c r="A161" s="106"/>
      <c r="B161" s="106"/>
      <c r="C161" s="106"/>
      <c r="D161" s="14"/>
      <c r="E161" s="14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5.75" customHeight="1">
      <c r="A162" s="106"/>
      <c r="B162" s="106"/>
      <c r="C162" s="106"/>
      <c r="D162" s="14"/>
      <c r="E162" s="14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5.75" customHeight="1">
      <c r="A163" s="106"/>
      <c r="B163" s="106"/>
      <c r="C163" s="106"/>
      <c r="D163" s="14"/>
      <c r="E163" s="14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5.75" customHeight="1">
      <c r="A164" s="106"/>
      <c r="B164" s="106"/>
      <c r="C164" s="106"/>
      <c r="D164" s="14"/>
      <c r="E164" s="14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5.75" customHeight="1">
      <c r="A165" s="106"/>
      <c r="B165" s="106"/>
      <c r="C165" s="106"/>
      <c r="D165" s="14"/>
      <c r="E165" s="14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5.75" customHeight="1">
      <c r="A166" s="106"/>
      <c r="B166" s="106"/>
      <c r="C166" s="106"/>
      <c r="D166" s="14"/>
      <c r="E166" s="14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5.75" customHeight="1">
      <c r="A167" s="106"/>
      <c r="B167" s="106"/>
      <c r="C167" s="106"/>
      <c r="D167" s="14"/>
      <c r="E167" s="14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5.75" customHeight="1">
      <c r="A168" s="106"/>
      <c r="B168" s="106"/>
      <c r="C168" s="106"/>
      <c r="D168" s="14"/>
      <c r="E168" s="14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5.75" customHeight="1">
      <c r="A169" s="106"/>
      <c r="B169" s="106"/>
      <c r="C169" s="106"/>
      <c r="D169" s="14"/>
      <c r="E169" s="14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5.75" customHeight="1">
      <c r="A170" s="106"/>
      <c r="B170" s="106"/>
      <c r="C170" s="106"/>
      <c r="D170" s="14"/>
      <c r="E170" s="14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5.75" customHeight="1">
      <c r="A171" s="106"/>
      <c r="B171" s="106"/>
      <c r="C171" s="106"/>
      <c r="D171" s="14"/>
      <c r="E171" s="14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5.75" customHeight="1">
      <c r="A172" s="106"/>
      <c r="B172" s="106"/>
      <c r="C172" s="106"/>
      <c r="D172" s="14"/>
      <c r="E172" s="14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5.75" customHeight="1">
      <c r="A173" s="106"/>
      <c r="B173" s="106"/>
      <c r="C173" s="106"/>
      <c r="D173" s="14"/>
      <c r="E173" s="14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5.75" customHeight="1">
      <c r="A174" s="106"/>
      <c r="B174" s="106"/>
      <c r="C174" s="106"/>
      <c r="D174" s="14"/>
      <c r="E174" s="14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5.75" customHeight="1">
      <c r="A175" s="106"/>
      <c r="B175" s="106"/>
      <c r="C175" s="106"/>
      <c r="D175" s="14"/>
      <c r="E175" s="14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5.75" customHeight="1">
      <c r="A176" s="106"/>
      <c r="B176" s="106"/>
      <c r="C176" s="106"/>
      <c r="D176" s="14"/>
      <c r="E176" s="14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5.75" customHeight="1">
      <c r="A177" s="106"/>
      <c r="B177" s="106"/>
      <c r="C177" s="106"/>
      <c r="D177" s="14"/>
      <c r="E177" s="14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5.75" customHeight="1">
      <c r="A178" s="106"/>
      <c r="B178" s="106"/>
      <c r="C178" s="106"/>
      <c r="D178" s="14"/>
      <c r="E178" s="14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5.75" customHeight="1">
      <c r="A179" s="106"/>
      <c r="B179" s="106"/>
      <c r="C179" s="106"/>
      <c r="D179" s="14"/>
      <c r="E179" s="14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5.75" customHeight="1">
      <c r="A180" s="106"/>
      <c r="B180" s="106"/>
      <c r="C180" s="106"/>
      <c r="D180" s="14"/>
      <c r="E180" s="14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5.75" customHeight="1">
      <c r="A181" s="106"/>
      <c r="B181" s="106"/>
      <c r="C181" s="106"/>
      <c r="D181" s="14"/>
      <c r="E181" s="14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5.75" customHeight="1">
      <c r="A182" s="106"/>
      <c r="B182" s="106"/>
      <c r="C182" s="106"/>
      <c r="D182" s="14"/>
      <c r="E182" s="14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5.75" customHeight="1">
      <c r="A183" s="106"/>
      <c r="B183" s="106"/>
      <c r="C183" s="106"/>
      <c r="D183" s="14"/>
      <c r="E183" s="14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5.75" customHeight="1">
      <c r="A184" s="106"/>
      <c r="B184" s="106"/>
      <c r="C184" s="106"/>
      <c r="D184" s="14"/>
      <c r="E184" s="14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5.75" customHeight="1">
      <c r="A185" s="106"/>
      <c r="B185" s="106"/>
      <c r="C185" s="106"/>
      <c r="D185" s="14"/>
      <c r="E185" s="14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5.75" customHeight="1">
      <c r="A186" s="106"/>
      <c r="B186" s="106"/>
      <c r="C186" s="106"/>
      <c r="D186" s="14"/>
      <c r="E186" s="14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5.75" customHeight="1">
      <c r="A187" s="106"/>
      <c r="B187" s="106"/>
      <c r="C187" s="106"/>
      <c r="D187" s="14"/>
      <c r="E187" s="14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5.75" customHeight="1">
      <c r="A188" s="106"/>
      <c r="B188" s="106"/>
      <c r="C188" s="106"/>
      <c r="D188" s="14"/>
      <c r="E188" s="14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5.75" customHeight="1">
      <c r="A189" s="106"/>
      <c r="B189" s="106"/>
      <c r="C189" s="106"/>
      <c r="D189" s="14"/>
      <c r="E189" s="14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5.75" customHeight="1">
      <c r="A190" s="106"/>
      <c r="B190" s="106"/>
      <c r="C190" s="106"/>
      <c r="D190" s="14"/>
      <c r="E190" s="14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5.75" customHeight="1">
      <c r="A191" s="106"/>
      <c r="B191" s="106"/>
      <c r="C191" s="106"/>
      <c r="D191" s="14"/>
      <c r="E191" s="14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5.75" customHeight="1">
      <c r="A192" s="106"/>
      <c r="B192" s="106"/>
      <c r="C192" s="106"/>
      <c r="D192" s="14"/>
      <c r="E192" s="14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5.75" customHeight="1">
      <c r="A193" s="106"/>
      <c r="B193" s="106"/>
      <c r="C193" s="106"/>
      <c r="D193" s="14"/>
      <c r="E193" s="14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5.75" customHeight="1">
      <c r="A194" s="106"/>
      <c r="B194" s="106"/>
      <c r="C194" s="106"/>
      <c r="D194" s="14"/>
      <c r="E194" s="14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5.75" customHeight="1">
      <c r="A195" s="106"/>
      <c r="B195" s="106"/>
      <c r="C195" s="106"/>
      <c r="D195" s="14"/>
      <c r="E195" s="14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5.75" customHeight="1">
      <c r="A196" s="106"/>
      <c r="B196" s="106"/>
      <c r="C196" s="106"/>
      <c r="D196" s="14"/>
      <c r="E196" s="14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5.75" customHeight="1">
      <c r="A197" s="106"/>
      <c r="B197" s="106"/>
      <c r="C197" s="106"/>
      <c r="D197" s="14"/>
      <c r="E197" s="14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5.75" customHeight="1">
      <c r="A198" s="106"/>
      <c r="B198" s="106"/>
      <c r="C198" s="106"/>
      <c r="D198" s="14"/>
      <c r="E198" s="14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5.75" customHeight="1">
      <c r="A199" s="106"/>
      <c r="B199" s="106"/>
      <c r="C199" s="106"/>
      <c r="D199" s="14"/>
      <c r="E199" s="14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5.75" customHeight="1">
      <c r="A200" s="106"/>
      <c r="B200" s="106"/>
      <c r="C200" s="106"/>
      <c r="D200" s="14"/>
      <c r="E200" s="14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5.75" customHeight="1">
      <c r="A201" s="106"/>
      <c r="B201" s="106"/>
      <c r="C201" s="106"/>
      <c r="D201" s="14"/>
      <c r="E201" s="14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5.75" customHeight="1">
      <c r="A202" s="106"/>
      <c r="B202" s="106"/>
      <c r="C202" s="106"/>
      <c r="D202" s="14"/>
      <c r="E202" s="14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5.75" customHeight="1">
      <c r="A203" s="106"/>
      <c r="B203" s="106"/>
      <c r="C203" s="106"/>
      <c r="D203" s="14"/>
      <c r="E203" s="14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5.75" customHeight="1">
      <c r="A204" s="106"/>
      <c r="B204" s="106"/>
      <c r="C204" s="106"/>
      <c r="D204" s="14"/>
      <c r="E204" s="14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5.75" customHeight="1">
      <c r="A205" s="106"/>
      <c r="B205" s="106"/>
      <c r="C205" s="106"/>
      <c r="D205" s="14"/>
      <c r="E205" s="14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5.75" customHeight="1">
      <c r="A206" s="106"/>
      <c r="B206" s="106"/>
      <c r="C206" s="106"/>
      <c r="D206" s="14"/>
      <c r="E206" s="14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5.75" customHeight="1">
      <c r="A207" s="106"/>
      <c r="B207" s="106"/>
      <c r="C207" s="106"/>
      <c r="D207" s="14"/>
      <c r="E207" s="14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5.75" customHeight="1">
      <c r="A208" s="106"/>
      <c r="B208" s="106"/>
      <c r="C208" s="106"/>
      <c r="D208" s="14"/>
      <c r="E208" s="14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5.75" customHeight="1">
      <c r="A209" s="106"/>
      <c r="B209" s="106"/>
      <c r="C209" s="106"/>
      <c r="D209" s="14"/>
      <c r="E209" s="14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5.75" customHeight="1">
      <c r="A210" s="106"/>
      <c r="B210" s="106"/>
      <c r="C210" s="106"/>
      <c r="D210" s="14"/>
      <c r="E210" s="14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5.75" customHeight="1">
      <c r="A211" s="106"/>
      <c r="B211" s="106"/>
      <c r="C211" s="106"/>
      <c r="D211" s="14"/>
      <c r="E211" s="14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5.75" customHeight="1">
      <c r="A212" s="106"/>
      <c r="B212" s="106"/>
      <c r="C212" s="106"/>
      <c r="D212" s="14"/>
      <c r="E212" s="14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5.75" customHeight="1">
      <c r="A213" s="106"/>
      <c r="B213" s="106"/>
      <c r="C213" s="106"/>
      <c r="D213" s="14"/>
      <c r="E213" s="14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5.75" customHeight="1">
      <c r="A214" s="106"/>
      <c r="B214" s="106"/>
      <c r="C214" s="106"/>
      <c r="D214" s="14"/>
      <c r="E214" s="14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5.75" customHeight="1">
      <c r="A215" s="106"/>
      <c r="B215" s="106"/>
      <c r="C215" s="106"/>
      <c r="D215" s="14"/>
      <c r="E215" s="14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5.75" customHeight="1">
      <c r="A216" s="106"/>
      <c r="B216" s="106"/>
      <c r="C216" s="106"/>
      <c r="D216" s="14"/>
      <c r="E216" s="14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5.75" customHeight="1">
      <c r="A217" s="106"/>
      <c r="B217" s="106"/>
      <c r="C217" s="106"/>
      <c r="D217" s="14"/>
      <c r="E217" s="14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5.75" customHeight="1">
      <c r="A218" s="106"/>
      <c r="B218" s="106"/>
      <c r="C218" s="106"/>
      <c r="D218" s="14"/>
      <c r="E218" s="14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5.75" customHeight="1">
      <c r="A219" s="106"/>
      <c r="B219" s="106"/>
      <c r="C219" s="106"/>
      <c r="D219" s="14"/>
      <c r="E219" s="14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5.75" customHeight="1">
      <c r="A220" s="106"/>
      <c r="B220" s="106"/>
      <c r="C220" s="106"/>
      <c r="D220" s="14"/>
      <c r="E220" s="14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G17:I17"/>
    <mergeCell ref="D9:E9"/>
    <mergeCell ref="D10:E10"/>
    <mergeCell ref="A11:F11"/>
    <mergeCell ref="A12:B12"/>
    <mergeCell ref="C12:D12"/>
    <mergeCell ref="E12:F12"/>
    <mergeCell ref="G12:I12"/>
    <mergeCell ref="D7:E7"/>
    <mergeCell ref="D8:E8"/>
    <mergeCell ref="A17:B17"/>
    <mergeCell ref="C17:D17"/>
    <mergeCell ref="E17:F17"/>
    <mergeCell ref="A4:B4"/>
    <mergeCell ref="H4:I4"/>
    <mergeCell ref="C4:E4"/>
    <mergeCell ref="F4:G4"/>
    <mergeCell ref="D5:E5"/>
    <mergeCell ref="F5:G5"/>
    <mergeCell ref="H5:I5"/>
    <mergeCell ref="A1:I1"/>
    <mergeCell ref="H2:I2"/>
    <mergeCell ref="A3:B3"/>
    <mergeCell ref="C3:E3"/>
    <mergeCell ref="F3:G3"/>
    <mergeCell ref="H3:I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I1000"/>
  <sheetViews>
    <sheetView workbookViewId="0"/>
  </sheetViews>
  <sheetFormatPr defaultColWidth="12.6640625" defaultRowHeight="15" customHeight="1"/>
  <cols>
    <col min="1" max="1" width="22" customWidth="1"/>
    <col min="2" max="2" width="28.109375" customWidth="1"/>
    <col min="3" max="3" width="17.33203125" customWidth="1"/>
    <col min="4" max="4" width="21.21875" customWidth="1"/>
    <col min="5" max="5" width="17" customWidth="1"/>
    <col min="6" max="6" width="15.6640625" customWidth="1"/>
    <col min="7" max="7" width="38.77734375" customWidth="1"/>
    <col min="8" max="9" width="29.6640625" customWidth="1"/>
  </cols>
  <sheetData>
    <row r="1" spans="1:9" ht="15.75" customHeight="1">
      <c r="A1" s="234" t="s">
        <v>265</v>
      </c>
      <c r="B1" s="156"/>
      <c r="C1" s="156"/>
      <c r="D1" s="156"/>
      <c r="E1" s="156"/>
      <c r="F1" s="156"/>
      <c r="G1" s="156"/>
      <c r="H1" s="156"/>
      <c r="I1" s="156"/>
    </row>
    <row r="2" spans="1:9" ht="15.75" customHeight="1">
      <c r="A2" s="156"/>
      <c r="B2" s="156"/>
      <c r="C2" s="156"/>
      <c r="D2" s="156"/>
      <c r="E2" s="156"/>
      <c r="F2" s="156"/>
      <c r="G2" s="156"/>
      <c r="H2" s="156"/>
      <c r="I2" s="156"/>
    </row>
    <row r="3" spans="1:9" ht="23.25" customHeight="1">
      <c r="A3" s="156"/>
      <c r="B3" s="156"/>
      <c r="C3" s="156"/>
      <c r="D3" s="156"/>
      <c r="E3" s="156"/>
      <c r="F3" s="156"/>
      <c r="G3" s="156"/>
      <c r="H3" s="156"/>
      <c r="I3" s="156"/>
    </row>
    <row r="4" spans="1:9" ht="15.75" customHeight="1">
      <c r="A4" s="235" t="s">
        <v>266</v>
      </c>
      <c r="B4" s="145"/>
      <c r="C4" s="145"/>
      <c r="D4" s="146"/>
      <c r="E4" s="235" t="s">
        <v>267</v>
      </c>
      <c r="F4" s="145"/>
      <c r="G4" s="145"/>
      <c r="H4" s="145"/>
      <c r="I4" s="146"/>
    </row>
    <row r="5" spans="1:9" ht="15.75" customHeight="1">
      <c r="A5" s="122" t="s">
        <v>217</v>
      </c>
      <c r="B5" s="122" t="s">
        <v>268</v>
      </c>
      <c r="C5" s="123" t="s">
        <v>269</v>
      </c>
      <c r="D5" s="123" t="s">
        <v>270</v>
      </c>
      <c r="E5" s="122" t="s">
        <v>217</v>
      </c>
      <c r="F5" s="122" t="s">
        <v>271</v>
      </c>
      <c r="G5" s="122" t="s">
        <v>268</v>
      </c>
      <c r="H5" s="123" t="s">
        <v>269</v>
      </c>
      <c r="I5" s="123" t="s">
        <v>270</v>
      </c>
    </row>
    <row r="6" spans="1:9" ht="15.75" customHeight="1">
      <c r="A6" s="124">
        <v>45840</v>
      </c>
      <c r="B6" s="125" t="s">
        <v>272</v>
      </c>
      <c r="C6" s="126">
        <v>1654000</v>
      </c>
      <c r="D6" s="127" t="s">
        <v>273</v>
      </c>
      <c r="E6" s="128">
        <v>45837</v>
      </c>
      <c r="F6" s="125">
        <v>2755</v>
      </c>
      <c r="G6" s="125" t="s">
        <v>274</v>
      </c>
      <c r="H6" s="126">
        <v>450000</v>
      </c>
      <c r="I6" s="127"/>
    </row>
    <row r="7" spans="1:9" ht="15.75" customHeight="1">
      <c r="A7" s="124">
        <v>45842</v>
      </c>
      <c r="B7" s="125" t="s">
        <v>275</v>
      </c>
      <c r="C7" s="126">
        <v>410000</v>
      </c>
      <c r="D7" s="127" t="s">
        <v>276</v>
      </c>
      <c r="E7" s="129">
        <v>45838</v>
      </c>
      <c r="F7" s="130" t="s">
        <v>277</v>
      </c>
      <c r="G7" s="125" t="s">
        <v>278</v>
      </c>
      <c r="H7" s="126">
        <v>700000</v>
      </c>
      <c r="I7" s="236" t="s">
        <v>279</v>
      </c>
    </row>
    <row r="8" spans="1:9" ht="15.75" customHeight="1">
      <c r="A8" s="125"/>
      <c r="B8" s="125" t="s">
        <v>280</v>
      </c>
      <c r="C8" s="126">
        <v>100000</v>
      </c>
      <c r="D8" s="131"/>
      <c r="E8" s="128">
        <v>45838</v>
      </c>
      <c r="F8" s="130" t="s">
        <v>281</v>
      </c>
      <c r="G8" s="125" t="s">
        <v>278</v>
      </c>
      <c r="H8" s="126">
        <v>780000</v>
      </c>
      <c r="I8" s="211"/>
    </row>
    <row r="9" spans="1:9" ht="15.75" customHeight="1">
      <c r="A9" s="125"/>
      <c r="B9" s="125" t="s">
        <v>282</v>
      </c>
      <c r="C9" s="126">
        <v>200000</v>
      </c>
      <c r="D9" s="131"/>
      <c r="E9" s="128">
        <v>45846</v>
      </c>
      <c r="F9" s="130" t="s">
        <v>283</v>
      </c>
      <c r="G9" s="125" t="s">
        <v>284</v>
      </c>
      <c r="H9" s="126">
        <v>1188000</v>
      </c>
      <c r="I9" s="127" t="s">
        <v>285</v>
      </c>
    </row>
    <row r="10" spans="1:9" ht="15.75" customHeight="1">
      <c r="A10" s="125"/>
      <c r="B10" s="125" t="s">
        <v>286</v>
      </c>
      <c r="C10" s="126"/>
      <c r="D10" s="131"/>
      <c r="E10" s="129">
        <v>45850</v>
      </c>
      <c r="F10" s="130" t="s">
        <v>287</v>
      </c>
      <c r="G10" s="125" t="s">
        <v>288</v>
      </c>
      <c r="H10" s="126">
        <v>1800000</v>
      </c>
      <c r="I10" s="127"/>
    </row>
    <row r="11" spans="1:9" ht="15.75" customHeight="1">
      <c r="A11" s="125"/>
      <c r="B11" s="125"/>
      <c r="C11" s="126"/>
      <c r="D11" s="131"/>
      <c r="E11" s="129">
        <v>45852</v>
      </c>
      <c r="F11" s="130" t="s">
        <v>289</v>
      </c>
      <c r="G11" s="125" t="s">
        <v>284</v>
      </c>
      <c r="H11" s="126">
        <v>1188000</v>
      </c>
      <c r="I11" s="127" t="s">
        <v>290</v>
      </c>
    </row>
    <row r="12" spans="1:9" ht="15.75" customHeight="1">
      <c r="A12" s="125"/>
      <c r="B12" s="125"/>
      <c r="C12" s="126"/>
      <c r="D12" s="131"/>
      <c r="E12" s="129">
        <v>45855</v>
      </c>
      <c r="F12" s="130" t="s">
        <v>291</v>
      </c>
      <c r="G12" s="125" t="s">
        <v>292</v>
      </c>
      <c r="H12" s="126">
        <v>792000</v>
      </c>
      <c r="I12" s="127" t="s">
        <v>293</v>
      </c>
    </row>
    <row r="13" spans="1:9" ht="15.75" customHeight="1">
      <c r="A13" s="125"/>
      <c r="B13" s="125"/>
      <c r="C13" s="126"/>
      <c r="D13" s="131"/>
      <c r="E13" s="129">
        <v>45855</v>
      </c>
      <c r="F13" s="130" t="s">
        <v>294</v>
      </c>
      <c r="G13" s="125" t="s">
        <v>286</v>
      </c>
      <c r="H13" s="126">
        <v>2339000</v>
      </c>
      <c r="I13" s="127" t="s">
        <v>273</v>
      </c>
    </row>
    <row r="14" spans="1:9" ht="15.75" customHeight="1">
      <c r="A14" s="125"/>
      <c r="B14" s="125"/>
      <c r="C14" s="126"/>
      <c r="D14" s="131"/>
      <c r="E14" s="129">
        <v>45856</v>
      </c>
      <c r="F14" s="130" t="s">
        <v>295</v>
      </c>
      <c r="G14" s="125" t="s">
        <v>296</v>
      </c>
      <c r="H14" s="126">
        <v>400000</v>
      </c>
      <c r="I14" s="132">
        <v>45855</v>
      </c>
    </row>
    <row r="15" spans="1:9" ht="15.75" customHeight="1">
      <c r="A15" s="125"/>
      <c r="B15" s="125"/>
      <c r="C15" s="126"/>
      <c r="D15" s="131"/>
      <c r="E15" s="129">
        <v>45857</v>
      </c>
      <c r="F15" s="130" t="s">
        <v>297</v>
      </c>
      <c r="G15" s="125" t="s">
        <v>296</v>
      </c>
      <c r="H15" s="126">
        <v>792000</v>
      </c>
      <c r="I15" s="127" t="s">
        <v>298</v>
      </c>
    </row>
    <row r="16" spans="1:9" ht="15.75" customHeight="1">
      <c r="A16" s="237" t="s">
        <v>299</v>
      </c>
      <c r="B16" s="146"/>
      <c r="C16" s="133">
        <f>SUM(C6:C15)</f>
        <v>2364000</v>
      </c>
      <c r="D16" s="133"/>
      <c r="E16" s="237" t="s">
        <v>299</v>
      </c>
      <c r="F16" s="145"/>
      <c r="G16" s="146"/>
      <c r="H16" s="133">
        <f>SUM(H6:H15)</f>
        <v>10429000</v>
      </c>
      <c r="I16" s="134"/>
    </row>
    <row r="17" spans="1:9" ht="15.75" customHeight="1">
      <c r="A17" s="135"/>
      <c r="B17" s="135"/>
      <c r="C17" s="136"/>
      <c r="D17" s="136"/>
      <c r="E17" s="135"/>
      <c r="F17" s="135"/>
      <c r="G17" s="135"/>
      <c r="H17" s="136"/>
      <c r="I17" s="137"/>
    </row>
    <row r="18" spans="1:9" ht="15.75" customHeight="1">
      <c r="A18" s="135"/>
      <c r="B18" s="135"/>
      <c r="C18" s="136"/>
      <c r="D18" s="136"/>
      <c r="E18" s="135"/>
      <c r="F18" s="135"/>
      <c r="G18" s="135"/>
      <c r="H18" s="136"/>
      <c r="I18" s="137"/>
    </row>
    <row r="19" spans="1:9" ht="15.75" customHeight="1">
      <c r="A19" s="135"/>
      <c r="B19" s="135"/>
      <c r="C19" s="136"/>
      <c r="D19" s="136"/>
      <c r="E19" s="135"/>
      <c r="F19" s="135"/>
      <c r="G19" s="135"/>
      <c r="H19" s="136"/>
      <c r="I19" s="137"/>
    </row>
    <row r="20" spans="1:9" ht="15.75" customHeight="1">
      <c r="A20" s="135"/>
      <c r="B20" s="135"/>
      <c r="C20" s="136"/>
      <c r="D20" s="136"/>
      <c r="E20" s="135"/>
      <c r="F20" s="135"/>
      <c r="G20" s="135"/>
      <c r="H20" s="136"/>
      <c r="I20" s="137"/>
    </row>
    <row r="21" spans="1:9" ht="15.75" customHeight="1">
      <c r="A21" s="135"/>
      <c r="B21" s="135"/>
      <c r="C21" s="136"/>
      <c r="D21" s="136"/>
      <c r="E21" s="135"/>
      <c r="F21" s="135"/>
      <c r="G21" s="135"/>
      <c r="H21" s="136"/>
      <c r="I21" s="137"/>
    </row>
    <row r="22" spans="1:9" ht="15.75" customHeight="1">
      <c r="A22" s="238" t="s">
        <v>300</v>
      </c>
      <c r="B22" s="156"/>
      <c r="C22" s="156"/>
      <c r="D22" s="156"/>
      <c r="E22" s="156"/>
      <c r="F22" s="138">
        <f>C16+H16</f>
        <v>12793000</v>
      </c>
      <c r="G22" s="135"/>
      <c r="H22" s="136"/>
      <c r="I22" s="137"/>
    </row>
    <row r="23" spans="1:9" ht="15.75" customHeight="1">
      <c r="A23" s="135"/>
      <c r="B23" s="135"/>
      <c r="C23" s="136"/>
      <c r="D23" s="136"/>
      <c r="E23" s="135"/>
      <c r="F23" s="135"/>
      <c r="G23" s="135"/>
      <c r="H23" s="136"/>
      <c r="I23" s="137"/>
    </row>
    <row r="24" spans="1:9" ht="15.75" customHeight="1">
      <c r="A24" s="135"/>
      <c r="B24" s="135"/>
      <c r="C24" s="136"/>
      <c r="D24" s="136"/>
      <c r="E24" s="135"/>
      <c r="F24" s="135"/>
      <c r="G24" s="135"/>
      <c r="H24" s="136"/>
      <c r="I24" s="137"/>
    </row>
    <row r="25" spans="1:9" ht="15.75" customHeight="1">
      <c r="A25" s="234" t="s">
        <v>301</v>
      </c>
      <c r="B25" s="156"/>
      <c r="C25" s="156"/>
      <c r="D25" s="156"/>
      <c r="E25" s="156"/>
      <c r="F25" s="156"/>
      <c r="G25" s="156"/>
      <c r="H25" s="156"/>
      <c r="I25" s="156"/>
    </row>
    <row r="26" spans="1:9" ht="15.75" customHeight="1">
      <c r="A26" s="156"/>
      <c r="B26" s="156"/>
      <c r="C26" s="156"/>
      <c r="D26" s="156"/>
      <c r="E26" s="156"/>
      <c r="F26" s="156"/>
      <c r="G26" s="156"/>
      <c r="H26" s="156"/>
      <c r="I26" s="156"/>
    </row>
    <row r="27" spans="1:9" ht="15.75" customHeight="1">
      <c r="A27" s="156"/>
      <c r="B27" s="156"/>
      <c r="C27" s="156"/>
      <c r="D27" s="156"/>
      <c r="E27" s="156"/>
      <c r="F27" s="156"/>
      <c r="G27" s="156"/>
      <c r="H27" s="156"/>
      <c r="I27" s="156"/>
    </row>
    <row r="28" spans="1:9" ht="15.75" customHeight="1">
      <c r="A28" s="235" t="s">
        <v>266</v>
      </c>
      <c r="B28" s="145"/>
      <c r="C28" s="145"/>
      <c r="D28" s="146"/>
      <c r="E28" s="235" t="s">
        <v>267</v>
      </c>
      <c r="F28" s="145"/>
      <c r="G28" s="145"/>
      <c r="H28" s="145"/>
      <c r="I28" s="146"/>
    </row>
    <row r="29" spans="1:9" ht="15.75" customHeight="1">
      <c r="A29" s="122" t="s">
        <v>217</v>
      </c>
      <c r="B29" s="122" t="s">
        <v>268</v>
      </c>
      <c r="C29" s="123" t="s">
        <v>269</v>
      </c>
      <c r="D29" s="123" t="s">
        <v>270</v>
      </c>
      <c r="E29" s="122" t="s">
        <v>217</v>
      </c>
      <c r="F29" s="122" t="s">
        <v>271</v>
      </c>
      <c r="G29" s="122" t="s">
        <v>268</v>
      </c>
      <c r="H29" s="123" t="s">
        <v>269</v>
      </c>
      <c r="I29" s="123" t="s">
        <v>270</v>
      </c>
    </row>
    <row r="30" spans="1:9" ht="15.75" customHeight="1">
      <c r="A30" s="124">
        <v>45840</v>
      </c>
      <c r="B30" s="125" t="s">
        <v>272</v>
      </c>
      <c r="C30" s="126">
        <v>1654000</v>
      </c>
      <c r="D30" s="127" t="s">
        <v>273</v>
      </c>
      <c r="E30" s="128">
        <v>45837</v>
      </c>
      <c r="F30" s="125">
        <v>2755</v>
      </c>
      <c r="G30" s="125" t="s">
        <v>274</v>
      </c>
      <c r="H30" s="126">
        <v>450000</v>
      </c>
      <c r="I30" s="127"/>
    </row>
    <row r="31" spans="1:9" ht="15.75" customHeight="1">
      <c r="A31" s="124">
        <v>45842</v>
      </c>
      <c r="B31" s="125" t="s">
        <v>275</v>
      </c>
      <c r="C31" s="126">
        <v>410000</v>
      </c>
      <c r="D31" s="127" t="s">
        <v>276</v>
      </c>
      <c r="E31" s="129">
        <v>45838</v>
      </c>
      <c r="F31" s="130" t="s">
        <v>277</v>
      </c>
      <c r="G31" s="125" t="s">
        <v>278</v>
      </c>
      <c r="H31" s="126">
        <v>700000</v>
      </c>
      <c r="I31" s="236" t="s">
        <v>279</v>
      </c>
    </row>
    <row r="32" spans="1:9" ht="15.75" customHeight="1">
      <c r="A32" s="125"/>
      <c r="B32" s="125" t="s">
        <v>280</v>
      </c>
      <c r="C32" s="126">
        <v>100000</v>
      </c>
      <c r="D32" s="131"/>
      <c r="E32" s="128">
        <v>45838</v>
      </c>
      <c r="F32" s="130" t="s">
        <v>281</v>
      </c>
      <c r="G32" s="125" t="s">
        <v>278</v>
      </c>
      <c r="H32" s="126">
        <v>780000</v>
      </c>
      <c r="I32" s="211"/>
    </row>
    <row r="33" spans="1:9" ht="15.75" customHeight="1">
      <c r="A33" s="125"/>
      <c r="B33" s="125" t="s">
        <v>282</v>
      </c>
      <c r="C33" s="126">
        <v>200000</v>
      </c>
      <c r="D33" s="131"/>
      <c r="E33" s="128">
        <v>45846</v>
      </c>
      <c r="F33" s="130" t="s">
        <v>283</v>
      </c>
      <c r="G33" s="125" t="s">
        <v>284</v>
      </c>
      <c r="H33" s="126">
        <v>1188000</v>
      </c>
      <c r="I33" s="127" t="s">
        <v>285</v>
      </c>
    </row>
    <row r="34" spans="1:9" ht="15.75" customHeight="1">
      <c r="A34" s="125"/>
      <c r="B34" s="125" t="s">
        <v>286</v>
      </c>
      <c r="C34" s="126"/>
      <c r="D34" s="131"/>
      <c r="E34" s="129">
        <v>45850</v>
      </c>
      <c r="F34" s="130" t="s">
        <v>287</v>
      </c>
      <c r="G34" s="125" t="s">
        <v>288</v>
      </c>
      <c r="H34" s="126">
        <v>1800000</v>
      </c>
      <c r="I34" s="127"/>
    </row>
    <row r="35" spans="1:9" ht="15.75" customHeight="1">
      <c r="A35" s="125"/>
      <c r="B35" s="125"/>
      <c r="C35" s="126"/>
      <c r="D35" s="131"/>
      <c r="E35" s="129">
        <v>45852</v>
      </c>
      <c r="F35" s="130" t="s">
        <v>289</v>
      </c>
      <c r="G35" s="125" t="s">
        <v>284</v>
      </c>
      <c r="H35" s="126">
        <v>1188000</v>
      </c>
      <c r="I35" s="127" t="s">
        <v>290</v>
      </c>
    </row>
    <row r="36" spans="1:9" ht="15.75" customHeight="1">
      <c r="A36" s="125"/>
      <c r="B36" s="125"/>
      <c r="C36" s="126"/>
      <c r="D36" s="131"/>
      <c r="E36" s="129">
        <v>45855</v>
      </c>
      <c r="F36" s="130" t="s">
        <v>291</v>
      </c>
      <c r="G36" s="125" t="s">
        <v>292</v>
      </c>
      <c r="H36" s="126">
        <v>792000</v>
      </c>
      <c r="I36" s="127" t="s">
        <v>293</v>
      </c>
    </row>
    <row r="37" spans="1:9" ht="15.75" customHeight="1">
      <c r="A37" s="125"/>
      <c r="B37" s="125"/>
      <c r="C37" s="126"/>
      <c r="D37" s="131"/>
      <c r="E37" s="129">
        <v>45855</v>
      </c>
      <c r="F37" s="130" t="s">
        <v>294</v>
      </c>
      <c r="G37" s="125" t="s">
        <v>286</v>
      </c>
      <c r="H37" s="126">
        <v>2339000</v>
      </c>
      <c r="I37" s="127" t="s">
        <v>273</v>
      </c>
    </row>
    <row r="38" spans="1:9" ht="15.75" customHeight="1">
      <c r="A38" s="125"/>
      <c r="B38" s="125"/>
      <c r="C38" s="126"/>
      <c r="D38" s="131"/>
      <c r="E38" s="129">
        <v>45856</v>
      </c>
      <c r="F38" s="130" t="s">
        <v>295</v>
      </c>
      <c r="G38" s="125" t="s">
        <v>296</v>
      </c>
      <c r="H38" s="126">
        <v>400000</v>
      </c>
      <c r="I38" s="132">
        <v>45855</v>
      </c>
    </row>
    <row r="39" spans="1:9" ht="15.75" customHeight="1">
      <c r="A39" s="125"/>
      <c r="B39" s="125"/>
      <c r="C39" s="126"/>
      <c r="D39" s="131"/>
      <c r="E39" s="129">
        <v>45857</v>
      </c>
      <c r="F39" s="130" t="s">
        <v>297</v>
      </c>
      <c r="G39" s="125" t="s">
        <v>296</v>
      </c>
      <c r="H39" s="126">
        <v>792000</v>
      </c>
      <c r="I39" s="127" t="s">
        <v>298</v>
      </c>
    </row>
    <row r="40" spans="1:9" ht="15.75" customHeight="1">
      <c r="A40" s="237" t="s">
        <v>299</v>
      </c>
      <c r="B40" s="146"/>
      <c r="C40" s="133">
        <f>SUM(C30:C39)</f>
        <v>2364000</v>
      </c>
      <c r="D40" s="133"/>
      <c r="E40" s="237" t="s">
        <v>299</v>
      </c>
      <c r="F40" s="145"/>
      <c r="G40" s="146"/>
      <c r="H40" s="133">
        <f>SUM(H30:H39)</f>
        <v>10429000</v>
      </c>
      <c r="I40" s="134"/>
    </row>
    <row r="41" spans="1:9" ht="15.75" customHeight="1">
      <c r="A41" s="135"/>
      <c r="B41" s="135"/>
      <c r="C41" s="136"/>
      <c r="D41" s="136"/>
      <c r="E41" s="135"/>
      <c r="F41" s="135"/>
      <c r="G41" s="135"/>
      <c r="H41" s="136"/>
      <c r="I41" s="137"/>
    </row>
    <row r="42" spans="1:9" ht="15.75" customHeight="1">
      <c r="A42" s="135"/>
      <c r="B42" s="135"/>
      <c r="C42" s="136"/>
      <c r="D42" s="136"/>
      <c r="E42" s="135"/>
      <c r="F42" s="135"/>
      <c r="G42" s="135"/>
      <c r="H42" s="136"/>
      <c r="I42" s="137"/>
    </row>
    <row r="43" spans="1:9" ht="15.75" customHeight="1">
      <c r="A43" s="135"/>
      <c r="B43" s="135"/>
      <c r="C43" s="136"/>
      <c r="D43" s="136"/>
      <c r="E43" s="135"/>
      <c r="F43" s="135"/>
      <c r="G43" s="135"/>
      <c r="H43" s="136"/>
      <c r="I43" s="137"/>
    </row>
    <row r="44" spans="1:9" ht="15.75" customHeight="1">
      <c r="A44" s="135"/>
      <c r="B44" s="135"/>
      <c r="C44" s="136"/>
      <c r="D44" s="136"/>
      <c r="E44" s="135"/>
      <c r="F44" s="135"/>
      <c r="G44" s="135"/>
      <c r="H44" s="136"/>
      <c r="I44" s="137"/>
    </row>
    <row r="45" spans="1:9" ht="15.75" customHeight="1">
      <c r="A45" s="135"/>
      <c r="B45" s="135"/>
      <c r="C45" s="136"/>
      <c r="D45" s="136"/>
      <c r="E45" s="135"/>
      <c r="F45" s="135"/>
      <c r="G45" s="135"/>
      <c r="H45" s="136"/>
      <c r="I45" s="137"/>
    </row>
    <row r="46" spans="1:9" ht="15.75" customHeight="1">
      <c r="A46" s="135"/>
      <c r="B46" s="135"/>
      <c r="C46" s="136"/>
      <c r="D46" s="136"/>
      <c r="E46" s="135"/>
      <c r="F46" s="135"/>
      <c r="G46" s="135"/>
      <c r="H46" s="136"/>
      <c r="I46" s="137"/>
    </row>
    <row r="47" spans="1:9" ht="15.75" customHeight="1">
      <c r="A47" s="135"/>
      <c r="B47" s="135"/>
      <c r="C47" s="136"/>
      <c r="D47" s="136"/>
      <c r="E47" s="135"/>
      <c r="F47" s="135"/>
      <c r="G47" s="135"/>
      <c r="H47" s="136"/>
      <c r="I47" s="137"/>
    </row>
    <row r="48" spans="1:9" ht="15.75" customHeight="1">
      <c r="A48" s="135"/>
      <c r="B48" s="135"/>
      <c r="C48" s="136"/>
      <c r="D48" s="136"/>
      <c r="E48" s="135"/>
      <c r="F48" s="135"/>
      <c r="G48" s="135"/>
      <c r="H48" s="136"/>
      <c r="I48" s="137"/>
    </row>
    <row r="49" spans="1:9" ht="15.75" customHeight="1">
      <c r="A49" s="135"/>
      <c r="B49" s="135"/>
      <c r="C49" s="136"/>
      <c r="D49" s="136"/>
      <c r="E49" s="135"/>
      <c r="F49" s="135"/>
      <c r="G49" s="135"/>
      <c r="H49" s="136"/>
      <c r="I49" s="137"/>
    </row>
    <row r="50" spans="1:9" ht="15.75" customHeight="1">
      <c r="A50" s="135"/>
      <c r="B50" s="135"/>
      <c r="C50" s="136"/>
      <c r="D50" s="136"/>
      <c r="E50" s="135"/>
      <c r="F50" s="135"/>
      <c r="G50" s="135"/>
      <c r="H50" s="136"/>
      <c r="I50" s="137"/>
    </row>
    <row r="51" spans="1:9" ht="15.75" customHeight="1">
      <c r="A51" s="135"/>
      <c r="B51" s="135"/>
      <c r="C51" s="136"/>
      <c r="D51" s="136"/>
      <c r="E51" s="135"/>
      <c r="F51" s="135"/>
      <c r="G51" s="135"/>
      <c r="H51" s="136"/>
      <c r="I51" s="137"/>
    </row>
    <row r="52" spans="1:9" ht="15.75" customHeight="1">
      <c r="A52" s="135"/>
      <c r="B52" s="135"/>
      <c r="C52" s="136"/>
      <c r="D52" s="136"/>
      <c r="E52" s="135"/>
      <c r="F52" s="135"/>
      <c r="G52" s="135"/>
      <c r="H52" s="136"/>
      <c r="I52" s="137"/>
    </row>
    <row r="53" spans="1:9" ht="15.75" customHeight="1">
      <c r="A53" s="135"/>
      <c r="B53" s="135"/>
      <c r="C53" s="136"/>
      <c r="D53" s="136"/>
      <c r="E53" s="135"/>
      <c r="F53" s="135"/>
      <c r="G53" s="135"/>
      <c r="H53" s="136"/>
      <c r="I53" s="137"/>
    </row>
    <row r="54" spans="1:9" ht="15.75" customHeight="1">
      <c r="A54" s="135"/>
      <c r="B54" s="135"/>
      <c r="C54" s="136"/>
      <c r="D54" s="136"/>
      <c r="E54" s="135"/>
      <c r="F54" s="135"/>
      <c r="G54" s="135"/>
      <c r="H54" s="136"/>
      <c r="I54" s="137"/>
    </row>
    <row r="55" spans="1:9" ht="15.75" customHeight="1">
      <c r="A55" s="135"/>
      <c r="B55" s="135"/>
      <c r="C55" s="136"/>
      <c r="D55" s="136"/>
      <c r="E55" s="135"/>
      <c r="F55" s="135"/>
      <c r="G55" s="135"/>
      <c r="H55" s="136"/>
      <c r="I55" s="137"/>
    </row>
    <row r="56" spans="1:9" ht="15.75" customHeight="1">
      <c r="A56" s="135"/>
      <c r="B56" s="135"/>
      <c r="C56" s="136"/>
      <c r="D56" s="136"/>
      <c r="E56" s="135"/>
      <c r="F56" s="135"/>
      <c r="G56" s="135"/>
      <c r="H56" s="136"/>
      <c r="I56" s="137"/>
    </row>
    <row r="57" spans="1:9" ht="15.75" customHeight="1">
      <c r="A57" s="135"/>
      <c r="B57" s="135"/>
      <c r="C57" s="136"/>
      <c r="D57" s="136"/>
      <c r="E57" s="135"/>
      <c r="F57" s="135"/>
      <c r="G57" s="135"/>
      <c r="H57" s="136"/>
      <c r="I57" s="137"/>
    </row>
    <row r="58" spans="1:9" ht="15.75" customHeight="1">
      <c r="A58" s="135"/>
      <c r="B58" s="135"/>
      <c r="C58" s="136"/>
      <c r="D58" s="136"/>
      <c r="E58" s="135"/>
      <c r="F58" s="135"/>
      <c r="G58" s="135"/>
      <c r="H58" s="136"/>
      <c r="I58" s="137"/>
    </row>
    <row r="59" spans="1:9" ht="15.75" customHeight="1">
      <c r="A59" s="135"/>
      <c r="B59" s="135"/>
      <c r="C59" s="136"/>
      <c r="D59" s="136"/>
      <c r="E59" s="135"/>
      <c r="F59" s="135"/>
      <c r="G59" s="135"/>
      <c r="H59" s="136"/>
      <c r="I59" s="137"/>
    </row>
    <row r="60" spans="1:9" ht="15.75" customHeight="1">
      <c r="A60" s="135"/>
      <c r="B60" s="135"/>
      <c r="C60" s="136"/>
      <c r="D60" s="136"/>
      <c r="E60" s="135"/>
      <c r="F60" s="135"/>
      <c r="G60" s="135"/>
      <c r="H60" s="136"/>
      <c r="I60" s="137"/>
    </row>
    <row r="61" spans="1:9" ht="15.75" customHeight="1">
      <c r="A61" s="135"/>
      <c r="B61" s="135"/>
      <c r="C61" s="136"/>
      <c r="D61" s="136"/>
      <c r="E61" s="135"/>
      <c r="F61" s="135"/>
      <c r="G61" s="135"/>
      <c r="H61" s="136"/>
      <c r="I61" s="137"/>
    </row>
    <row r="62" spans="1:9" ht="15.75" customHeight="1">
      <c r="A62" s="135"/>
      <c r="B62" s="135"/>
      <c r="C62" s="136"/>
      <c r="D62" s="136"/>
      <c r="E62" s="135"/>
      <c r="F62" s="135"/>
      <c r="G62" s="135"/>
      <c r="H62" s="136"/>
      <c r="I62" s="137"/>
    </row>
    <row r="63" spans="1:9" ht="15.75" customHeight="1">
      <c r="A63" s="135"/>
      <c r="B63" s="135"/>
      <c r="C63" s="136"/>
      <c r="D63" s="136"/>
      <c r="E63" s="135"/>
      <c r="F63" s="135"/>
      <c r="G63" s="135"/>
      <c r="H63" s="136"/>
      <c r="I63" s="137"/>
    </row>
    <row r="64" spans="1:9" ht="15.75" customHeight="1">
      <c r="A64" s="135"/>
      <c r="B64" s="135"/>
      <c r="C64" s="136"/>
      <c r="D64" s="136"/>
      <c r="E64" s="135"/>
      <c r="F64" s="135"/>
      <c r="G64" s="135"/>
      <c r="H64" s="136"/>
      <c r="I64" s="137"/>
    </row>
    <row r="65" spans="1:9" ht="15.75" customHeight="1">
      <c r="A65" s="135"/>
      <c r="B65" s="135"/>
      <c r="C65" s="136"/>
      <c r="D65" s="136"/>
      <c r="E65" s="135"/>
      <c r="F65" s="135"/>
      <c r="G65" s="135"/>
      <c r="H65" s="136"/>
      <c r="I65" s="137"/>
    </row>
    <row r="66" spans="1:9" ht="15.75" customHeight="1">
      <c r="A66" s="135"/>
      <c r="B66" s="135"/>
      <c r="C66" s="136"/>
      <c r="D66" s="136"/>
      <c r="E66" s="135"/>
      <c r="F66" s="135"/>
      <c r="G66" s="135"/>
      <c r="H66" s="136"/>
      <c r="I66" s="137"/>
    </row>
    <row r="67" spans="1:9" ht="15.75" customHeight="1">
      <c r="A67" s="135"/>
      <c r="B67" s="135"/>
      <c r="C67" s="136"/>
      <c r="D67" s="136"/>
      <c r="E67" s="135"/>
      <c r="F67" s="135"/>
      <c r="G67" s="135"/>
      <c r="H67" s="136"/>
      <c r="I67" s="137"/>
    </row>
    <row r="68" spans="1:9" ht="15.75" customHeight="1">
      <c r="A68" s="135"/>
      <c r="B68" s="135"/>
      <c r="C68" s="136"/>
      <c r="D68" s="136"/>
      <c r="E68" s="135"/>
      <c r="F68" s="135"/>
      <c r="G68" s="135"/>
      <c r="H68" s="136"/>
      <c r="I68" s="137"/>
    </row>
    <row r="69" spans="1:9" ht="15.75" customHeight="1">
      <c r="A69" s="135"/>
      <c r="B69" s="135"/>
      <c r="C69" s="136"/>
      <c r="D69" s="136"/>
      <c r="E69" s="135"/>
      <c r="F69" s="135"/>
      <c r="G69" s="135"/>
      <c r="H69" s="136"/>
      <c r="I69" s="137"/>
    </row>
    <row r="70" spans="1:9" ht="15.75" customHeight="1">
      <c r="A70" s="135"/>
      <c r="B70" s="135"/>
      <c r="C70" s="136"/>
      <c r="D70" s="136"/>
      <c r="E70" s="135"/>
      <c r="F70" s="135"/>
      <c r="G70" s="135"/>
      <c r="H70" s="136"/>
      <c r="I70" s="137"/>
    </row>
    <row r="71" spans="1:9" ht="15.75" customHeight="1">
      <c r="A71" s="135"/>
      <c r="B71" s="135"/>
      <c r="C71" s="136"/>
      <c r="D71" s="136"/>
      <c r="E71" s="135"/>
      <c r="F71" s="135"/>
      <c r="G71" s="135"/>
      <c r="H71" s="136"/>
      <c r="I71" s="137"/>
    </row>
    <row r="72" spans="1:9" ht="15.75" customHeight="1">
      <c r="A72" s="135"/>
      <c r="B72" s="135"/>
      <c r="C72" s="136"/>
      <c r="D72" s="136"/>
      <c r="E72" s="135"/>
      <c r="F72" s="135"/>
      <c r="G72" s="135"/>
      <c r="H72" s="136"/>
      <c r="I72" s="137"/>
    </row>
    <row r="73" spans="1:9" ht="15.75" customHeight="1">
      <c r="A73" s="135"/>
      <c r="B73" s="135"/>
      <c r="C73" s="136"/>
      <c r="D73" s="136"/>
      <c r="E73" s="135"/>
      <c r="F73" s="135"/>
      <c r="G73" s="135"/>
      <c r="H73" s="136"/>
      <c r="I73" s="137"/>
    </row>
    <row r="74" spans="1:9" ht="15.75" customHeight="1">
      <c r="A74" s="135"/>
      <c r="B74" s="135"/>
      <c r="C74" s="136"/>
      <c r="D74" s="136"/>
      <c r="E74" s="135"/>
      <c r="F74" s="135"/>
      <c r="G74" s="135"/>
      <c r="H74" s="136"/>
      <c r="I74" s="137"/>
    </row>
    <row r="75" spans="1:9" ht="15.75" customHeight="1">
      <c r="A75" s="135"/>
      <c r="B75" s="135"/>
      <c r="C75" s="136"/>
      <c r="D75" s="136"/>
      <c r="E75" s="135"/>
      <c r="F75" s="135"/>
      <c r="G75" s="135"/>
      <c r="H75" s="136"/>
      <c r="I75" s="137"/>
    </row>
    <row r="76" spans="1:9" ht="15.75" customHeight="1">
      <c r="A76" s="135"/>
      <c r="B76" s="135"/>
      <c r="C76" s="136"/>
      <c r="D76" s="136"/>
      <c r="E76" s="135"/>
      <c r="F76" s="135"/>
      <c r="G76" s="135"/>
      <c r="H76" s="136"/>
      <c r="I76" s="137"/>
    </row>
    <row r="77" spans="1:9" ht="15.75" customHeight="1">
      <c r="A77" s="135"/>
      <c r="B77" s="135"/>
      <c r="C77" s="136"/>
      <c r="D77" s="136"/>
      <c r="E77" s="135"/>
      <c r="F77" s="135"/>
      <c r="G77" s="135"/>
      <c r="H77" s="136"/>
      <c r="I77" s="137"/>
    </row>
    <row r="78" spans="1:9" ht="15.75" customHeight="1">
      <c r="A78" s="135"/>
      <c r="B78" s="135"/>
      <c r="C78" s="136"/>
      <c r="D78" s="136"/>
      <c r="E78" s="135"/>
      <c r="F78" s="135"/>
      <c r="G78" s="135"/>
      <c r="H78" s="136"/>
      <c r="I78" s="137"/>
    </row>
    <row r="79" spans="1:9" ht="15.75" customHeight="1">
      <c r="A79" s="135"/>
      <c r="B79" s="135"/>
      <c r="C79" s="136"/>
      <c r="D79" s="136"/>
      <c r="E79" s="135"/>
      <c r="F79" s="135"/>
      <c r="G79" s="135"/>
      <c r="H79" s="136"/>
      <c r="I79" s="137"/>
    </row>
    <row r="80" spans="1:9" ht="15.75" customHeight="1">
      <c r="A80" s="135"/>
      <c r="B80" s="135"/>
      <c r="C80" s="136"/>
      <c r="D80" s="136"/>
      <c r="E80" s="135"/>
      <c r="F80" s="135"/>
      <c r="G80" s="135"/>
      <c r="H80" s="136"/>
      <c r="I80" s="137"/>
    </row>
    <row r="81" spans="1:9" ht="15.75" customHeight="1">
      <c r="A81" s="135"/>
      <c r="B81" s="135"/>
      <c r="C81" s="136"/>
      <c r="D81" s="136"/>
      <c r="E81" s="135"/>
      <c r="F81" s="135"/>
      <c r="G81" s="135"/>
      <c r="H81" s="136"/>
      <c r="I81" s="137"/>
    </row>
    <row r="82" spans="1:9" ht="15.75" customHeight="1">
      <c r="A82" s="135"/>
      <c r="B82" s="135"/>
      <c r="C82" s="136"/>
      <c r="D82" s="136"/>
      <c r="E82" s="135"/>
      <c r="F82" s="135"/>
      <c r="G82" s="135"/>
      <c r="H82" s="136"/>
      <c r="I82" s="137"/>
    </row>
    <row r="83" spans="1:9" ht="15.75" customHeight="1">
      <c r="A83" s="135"/>
      <c r="B83" s="135"/>
      <c r="C83" s="136"/>
      <c r="D83" s="136"/>
      <c r="E83" s="135"/>
      <c r="F83" s="135"/>
      <c r="G83" s="135"/>
      <c r="H83" s="136"/>
      <c r="I83" s="137"/>
    </row>
    <row r="84" spans="1:9" ht="15.75" customHeight="1">
      <c r="A84" s="135"/>
      <c r="B84" s="135"/>
      <c r="C84" s="136"/>
      <c r="D84" s="136"/>
      <c r="E84" s="135"/>
      <c r="F84" s="135"/>
      <c r="G84" s="135"/>
      <c r="H84" s="136"/>
      <c r="I84" s="137"/>
    </row>
    <row r="85" spans="1:9" ht="15.75" customHeight="1">
      <c r="A85" s="135"/>
      <c r="B85" s="135"/>
      <c r="C85" s="136"/>
      <c r="D85" s="136"/>
      <c r="E85" s="135"/>
      <c r="F85" s="135"/>
      <c r="G85" s="135"/>
      <c r="H85" s="136"/>
      <c r="I85" s="137"/>
    </row>
    <row r="86" spans="1:9" ht="15.75" customHeight="1">
      <c r="A86" s="135"/>
      <c r="B86" s="135"/>
      <c r="C86" s="136"/>
      <c r="D86" s="136"/>
      <c r="E86" s="135"/>
      <c r="F86" s="135"/>
      <c r="G86" s="135"/>
      <c r="H86" s="136"/>
      <c r="I86" s="137"/>
    </row>
    <row r="87" spans="1:9" ht="15.75" customHeight="1">
      <c r="A87" s="135"/>
      <c r="B87" s="135"/>
      <c r="C87" s="136"/>
      <c r="D87" s="136"/>
      <c r="E87" s="135"/>
      <c r="F87" s="135"/>
      <c r="G87" s="135"/>
      <c r="H87" s="136"/>
      <c r="I87" s="137"/>
    </row>
    <row r="88" spans="1:9" ht="15.75" customHeight="1">
      <c r="A88" s="135"/>
      <c r="B88" s="135"/>
      <c r="C88" s="136"/>
      <c r="D88" s="136"/>
      <c r="E88" s="135"/>
      <c r="F88" s="135"/>
      <c r="G88" s="135"/>
      <c r="H88" s="136"/>
      <c r="I88" s="137"/>
    </row>
    <row r="89" spans="1:9" ht="15.75" customHeight="1">
      <c r="A89" s="135"/>
      <c r="B89" s="135"/>
      <c r="C89" s="136"/>
      <c r="D89" s="136"/>
      <c r="E89" s="135"/>
      <c r="F89" s="135"/>
      <c r="G89" s="135"/>
      <c r="H89" s="136"/>
      <c r="I89" s="137"/>
    </row>
    <row r="90" spans="1:9" ht="15.75" customHeight="1">
      <c r="A90" s="135"/>
      <c r="B90" s="135"/>
      <c r="C90" s="136"/>
      <c r="D90" s="136"/>
      <c r="E90" s="135"/>
      <c r="F90" s="135"/>
      <c r="G90" s="135"/>
      <c r="H90" s="136"/>
      <c r="I90" s="137"/>
    </row>
    <row r="91" spans="1:9" ht="15.75" customHeight="1">
      <c r="A91" s="135"/>
      <c r="B91" s="135"/>
      <c r="C91" s="136"/>
      <c r="D91" s="136"/>
      <c r="E91" s="135"/>
      <c r="F91" s="135"/>
      <c r="G91" s="135"/>
      <c r="H91" s="136"/>
      <c r="I91" s="137"/>
    </row>
    <row r="92" spans="1:9" ht="15.75" customHeight="1">
      <c r="A92" s="135"/>
      <c r="B92" s="135"/>
      <c r="C92" s="136"/>
      <c r="D92" s="136"/>
      <c r="E92" s="135"/>
      <c r="F92" s="135"/>
      <c r="G92" s="135"/>
      <c r="H92" s="136"/>
      <c r="I92" s="137"/>
    </row>
    <row r="93" spans="1:9" ht="15.75" customHeight="1">
      <c r="A93" s="135"/>
      <c r="B93" s="135"/>
      <c r="C93" s="136"/>
      <c r="D93" s="136"/>
      <c r="E93" s="135"/>
      <c r="F93" s="135"/>
      <c r="G93" s="135"/>
      <c r="H93" s="136"/>
      <c r="I93" s="137"/>
    </row>
    <row r="94" spans="1:9" ht="15.75" customHeight="1">
      <c r="A94" s="135"/>
      <c r="B94" s="135"/>
      <c r="C94" s="136"/>
      <c r="D94" s="136"/>
      <c r="E94" s="135"/>
      <c r="F94" s="135"/>
      <c r="G94" s="135"/>
      <c r="H94" s="136"/>
      <c r="I94" s="137"/>
    </row>
    <row r="95" spans="1:9" ht="15.75" customHeight="1">
      <c r="A95" s="135"/>
      <c r="B95" s="135"/>
      <c r="C95" s="136"/>
      <c r="D95" s="136"/>
      <c r="E95" s="135"/>
      <c r="F95" s="135"/>
      <c r="G95" s="135"/>
      <c r="H95" s="136"/>
      <c r="I95" s="137"/>
    </row>
    <row r="96" spans="1:9" ht="15.75" customHeight="1">
      <c r="A96" s="135"/>
      <c r="B96" s="135"/>
      <c r="C96" s="136"/>
      <c r="D96" s="136"/>
      <c r="E96" s="135"/>
      <c r="F96" s="135"/>
      <c r="G96" s="135"/>
      <c r="H96" s="136"/>
      <c r="I96" s="137"/>
    </row>
    <row r="97" spans="1:9" ht="15.75" customHeight="1">
      <c r="A97" s="135"/>
      <c r="B97" s="135"/>
      <c r="C97" s="136"/>
      <c r="D97" s="136"/>
      <c r="E97" s="135"/>
      <c r="F97" s="135"/>
      <c r="G97" s="135"/>
      <c r="H97" s="136"/>
      <c r="I97" s="137"/>
    </row>
    <row r="98" spans="1:9" ht="15.75" customHeight="1">
      <c r="A98" s="135"/>
      <c r="B98" s="135"/>
      <c r="C98" s="136"/>
      <c r="D98" s="136"/>
      <c r="E98" s="135"/>
      <c r="F98" s="135"/>
      <c r="G98" s="135"/>
      <c r="H98" s="136"/>
      <c r="I98" s="137"/>
    </row>
    <row r="99" spans="1:9" ht="15.75" customHeight="1">
      <c r="A99" s="135"/>
      <c r="B99" s="135"/>
      <c r="C99" s="136"/>
      <c r="D99" s="136"/>
      <c r="E99" s="135"/>
      <c r="F99" s="135"/>
      <c r="G99" s="135"/>
      <c r="H99" s="136"/>
      <c r="I99" s="137"/>
    </row>
    <row r="100" spans="1:9" ht="15.75" customHeight="1">
      <c r="A100" s="135"/>
      <c r="B100" s="135"/>
      <c r="C100" s="136"/>
      <c r="D100" s="136"/>
      <c r="E100" s="135"/>
      <c r="F100" s="135"/>
      <c r="G100" s="135"/>
      <c r="H100" s="136"/>
      <c r="I100" s="137"/>
    </row>
    <row r="101" spans="1:9" ht="15.75" customHeight="1">
      <c r="A101" s="135"/>
      <c r="B101" s="135"/>
      <c r="C101" s="136"/>
      <c r="D101" s="136"/>
      <c r="E101" s="135"/>
      <c r="F101" s="135"/>
      <c r="G101" s="135"/>
      <c r="H101" s="136"/>
      <c r="I101" s="137"/>
    </row>
    <row r="102" spans="1:9" ht="15.75" customHeight="1">
      <c r="A102" s="135"/>
      <c r="B102" s="135"/>
      <c r="C102" s="136"/>
      <c r="D102" s="136"/>
      <c r="E102" s="135"/>
      <c r="F102" s="135"/>
      <c r="G102" s="135"/>
      <c r="H102" s="136"/>
      <c r="I102" s="137"/>
    </row>
    <row r="103" spans="1:9" ht="15.75" customHeight="1">
      <c r="A103" s="135"/>
      <c r="B103" s="135"/>
      <c r="C103" s="136"/>
      <c r="D103" s="136"/>
      <c r="E103" s="135"/>
      <c r="F103" s="135"/>
      <c r="G103" s="135"/>
      <c r="H103" s="136"/>
      <c r="I103" s="137"/>
    </row>
    <row r="104" spans="1:9" ht="15.75" customHeight="1">
      <c r="A104" s="135"/>
      <c r="B104" s="135"/>
      <c r="C104" s="136"/>
      <c r="D104" s="136"/>
      <c r="E104" s="135"/>
      <c r="F104" s="135"/>
      <c r="G104" s="135"/>
      <c r="H104" s="136"/>
      <c r="I104" s="137"/>
    </row>
    <row r="105" spans="1:9" ht="15.75" customHeight="1">
      <c r="A105" s="135"/>
      <c r="B105" s="135"/>
      <c r="C105" s="136"/>
      <c r="D105" s="136"/>
      <c r="E105" s="135"/>
      <c r="F105" s="135"/>
      <c r="G105" s="135"/>
      <c r="H105" s="136"/>
      <c r="I105" s="137"/>
    </row>
    <row r="106" spans="1:9" ht="15.75" customHeight="1">
      <c r="A106" s="135"/>
      <c r="B106" s="135"/>
      <c r="C106" s="136"/>
      <c r="D106" s="136"/>
      <c r="E106" s="135"/>
      <c r="F106" s="135"/>
      <c r="G106" s="135"/>
      <c r="H106" s="136"/>
      <c r="I106" s="137"/>
    </row>
    <row r="107" spans="1:9" ht="15.75" customHeight="1">
      <c r="A107" s="135"/>
      <c r="B107" s="135"/>
      <c r="C107" s="136"/>
      <c r="D107" s="136"/>
      <c r="E107" s="135"/>
      <c r="F107" s="135"/>
      <c r="G107" s="135"/>
      <c r="H107" s="136"/>
      <c r="I107" s="137"/>
    </row>
    <row r="108" spans="1:9" ht="15.75" customHeight="1">
      <c r="A108" s="135"/>
      <c r="B108" s="135"/>
      <c r="C108" s="136"/>
      <c r="D108" s="136"/>
      <c r="E108" s="135"/>
      <c r="F108" s="135"/>
      <c r="G108" s="135"/>
      <c r="H108" s="136"/>
      <c r="I108" s="137"/>
    </row>
    <row r="109" spans="1:9" ht="15.75" customHeight="1">
      <c r="A109" s="135"/>
      <c r="B109" s="135"/>
      <c r="C109" s="136"/>
      <c r="D109" s="136"/>
      <c r="E109" s="135"/>
      <c r="F109" s="135"/>
      <c r="G109" s="135"/>
      <c r="H109" s="136"/>
      <c r="I109" s="137"/>
    </row>
    <row r="110" spans="1:9" ht="15.75" customHeight="1">
      <c r="A110" s="135"/>
      <c r="B110" s="135"/>
      <c r="C110" s="136"/>
      <c r="D110" s="136"/>
      <c r="E110" s="135"/>
      <c r="F110" s="135"/>
      <c r="G110" s="135"/>
      <c r="H110" s="136"/>
      <c r="I110" s="137"/>
    </row>
    <row r="111" spans="1:9" ht="15.75" customHeight="1">
      <c r="A111" s="135"/>
      <c r="B111" s="135"/>
      <c r="C111" s="136"/>
      <c r="D111" s="136"/>
      <c r="E111" s="135"/>
      <c r="F111" s="135"/>
      <c r="G111" s="135"/>
      <c r="H111" s="136"/>
      <c r="I111" s="137"/>
    </row>
    <row r="112" spans="1:9" ht="15.75" customHeight="1">
      <c r="A112" s="135"/>
      <c r="B112" s="135"/>
      <c r="C112" s="136"/>
      <c r="D112" s="136"/>
      <c r="E112" s="135"/>
      <c r="F112" s="135"/>
      <c r="G112" s="135"/>
      <c r="H112" s="136"/>
      <c r="I112" s="137"/>
    </row>
    <row r="113" spans="1:9" ht="15.75" customHeight="1">
      <c r="A113" s="135"/>
      <c r="B113" s="135"/>
      <c r="C113" s="136"/>
      <c r="D113" s="136"/>
      <c r="E113" s="135"/>
      <c r="F113" s="135"/>
      <c r="G113" s="135"/>
      <c r="H113" s="136"/>
      <c r="I113" s="137"/>
    </row>
    <row r="114" spans="1:9" ht="15.75" customHeight="1">
      <c r="A114" s="135"/>
      <c r="B114" s="135"/>
      <c r="C114" s="136"/>
      <c r="D114" s="136"/>
      <c r="E114" s="135"/>
      <c r="F114" s="135"/>
      <c r="G114" s="135"/>
      <c r="H114" s="136"/>
      <c r="I114" s="137"/>
    </row>
    <row r="115" spans="1:9" ht="15.75" customHeight="1">
      <c r="A115" s="135"/>
      <c r="B115" s="135"/>
      <c r="C115" s="136"/>
      <c r="D115" s="136"/>
      <c r="E115" s="135"/>
      <c r="F115" s="135"/>
      <c r="G115" s="135"/>
      <c r="H115" s="136"/>
      <c r="I115" s="137"/>
    </row>
    <row r="116" spans="1:9" ht="15.75" customHeight="1">
      <c r="A116" s="135"/>
      <c r="B116" s="135"/>
      <c r="C116" s="136"/>
      <c r="D116" s="136"/>
      <c r="E116" s="135"/>
      <c r="F116" s="135"/>
      <c r="G116" s="135"/>
      <c r="H116" s="136"/>
      <c r="I116" s="137"/>
    </row>
    <row r="117" spans="1:9" ht="15.75" customHeight="1">
      <c r="A117" s="135"/>
      <c r="B117" s="135"/>
      <c r="C117" s="136"/>
      <c r="D117" s="136"/>
      <c r="E117" s="135"/>
      <c r="F117" s="135"/>
      <c r="G117" s="135"/>
      <c r="H117" s="136"/>
      <c r="I117" s="137"/>
    </row>
    <row r="118" spans="1:9" ht="15.75" customHeight="1">
      <c r="A118" s="135"/>
      <c r="B118" s="135"/>
      <c r="C118" s="136"/>
      <c r="D118" s="136"/>
      <c r="E118" s="135"/>
      <c r="F118" s="135"/>
      <c r="G118" s="135"/>
      <c r="H118" s="136"/>
      <c r="I118" s="137"/>
    </row>
    <row r="119" spans="1:9" ht="15.75" customHeight="1">
      <c r="A119" s="135"/>
      <c r="B119" s="135"/>
      <c r="C119" s="136"/>
      <c r="D119" s="136"/>
      <c r="E119" s="135"/>
      <c r="F119" s="135"/>
      <c r="G119" s="135"/>
      <c r="H119" s="136"/>
      <c r="I119" s="137"/>
    </row>
    <row r="120" spans="1:9" ht="15.75" customHeight="1">
      <c r="A120" s="135"/>
      <c r="B120" s="135"/>
      <c r="C120" s="136"/>
      <c r="D120" s="136"/>
      <c r="E120" s="135"/>
      <c r="F120" s="135"/>
      <c r="G120" s="135"/>
      <c r="H120" s="136"/>
      <c r="I120" s="137"/>
    </row>
    <row r="121" spans="1:9" ht="15.75" customHeight="1">
      <c r="A121" s="135"/>
      <c r="B121" s="135"/>
      <c r="C121" s="136"/>
      <c r="D121" s="136"/>
      <c r="E121" s="135"/>
      <c r="F121" s="135"/>
      <c r="G121" s="135"/>
      <c r="H121" s="136"/>
      <c r="I121" s="137"/>
    </row>
    <row r="122" spans="1:9" ht="15.75" customHeight="1">
      <c r="A122" s="135"/>
      <c r="B122" s="135"/>
      <c r="C122" s="136"/>
      <c r="D122" s="136"/>
      <c r="E122" s="135"/>
      <c r="F122" s="135"/>
      <c r="G122" s="135"/>
      <c r="H122" s="136"/>
      <c r="I122" s="137"/>
    </row>
    <row r="123" spans="1:9" ht="15.75" customHeight="1">
      <c r="A123" s="135"/>
      <c r="B123" s="135"/>
      <c r="C123" s="136"/>
      <c r="D123" s="136"/>
      <c r="E123" s="135"/>
      <c r="F123" s="135"/>
      <c r="G123" s="135"/>
      <c r="H123" s="136"/>
      <c r="I123" s="137"/>
    </row>
    <row r="124" spans="1:9" ht="15.75" customHeight="1">
      <c r="A124" s="135"/>
      <c r="B124" s="135"/>
      <c r="C124" s="136"/>
      <c r="D124" s="136"/>
      <c r="E124" s="135"/>
      <c r="F124" s="135"/>
      <c r="G124" s="135"/>
      <c r="H124" s="136"/>
      <c r="I124" s="137"/>
    </row>
    <row r="125" spans="1:9" ht="15.75" customHeight="1">
      <c r="A125" s="135"/>
      <c r="B125" s="135"/>
      <c r="C125" s="136"/>
      <c r="D125" s="136"/>
      <c r="E125" s="135"/>
      <c r="F125" s="135"/>
      <c r="G125" s="135"/>
      <c r="H125" s="136"/>
      <c r="I125" s="137"/>
    </row>
    <row r="126" spans="1:9" ht="15.75" customHeight="1">
      <c r="A126" s="135"/>
      <c r="B126" s="135"/>
      <c r="C126" s="136"/>
      <c r="D126" s="136"/>
      <c r="E126" s="135"/>
      <c r="F126" s="135"/>
      <c r="G126" s="135"/>
      <c r="H126" s="136"/>
      <c r="I126" s="137"/>
    </row>
    <row r="127" spans="1:9" ht="15.75" customHeight="1">
      <c r="A127" s="135"/>
      <c r="B127" s="135"/>
      <c r="C127" s="136"/>
      <c r="D127" s="136"/>
      <c r="E127" s="135"/>
      <c r="F127" s="135"/>
      <c r="G127" s="135"/>
      <c r="H127" s="136"/>
      <c r="I127" s="137"/>
    </row>
    <row r="128" spans="1:9" ht="15.75" customHeight="1">
      <c r="A128" s="135"/>
      <c r="B128" s="135"/>
      <c r="C128" s="136"/>
      <c r="D128" s="136"/>
      <c r="E128" s="135"/>
      <c r="F128" s="135"/>
      <c r="G128" s="135"/>
      <c r="H128" s="136"/>
      <c r="I128" s="137"/>
    </row>
    <row r="129" spans="1:9" ht="15.75" customHeight="1">
      <c r="A129" s="135"/>
      <c r="B129" s="135"/>
      <c r="C129" s="136"/>
      <c r="D129" s="136"/>
      <c r="E129" s="135"/>
      <c r="F129" s="135"/>
      <c r="G129" s="135"/>
      <c r="H129" s="136"/>
      <c r="I129" s="137"/>
    </row>
    <row r="130" spans="1:9" ht="15.75" customHeight="1">
      <c r="A130" s="135"/>
      <c r="B130" s="135"/>
      <c r="C130" s="136"/>
      <c r="D130" s="136"/>
      <c r="E130" s="135"/>
      <c r="F130" s="135"/>
      <c r="G130" s="135"/>
      <c r="H130" s="136"/>
      <c r="I130" s="137"/>
    </row>
    <row r="131" spans="1:9" ht="15.75" customHeight="1">
      <c r="A131" s="135"/>
      <c r="B131" s="135"/>
      <c r="C131" s="136"/>
      <c r="D131" s="136"/>
      <c r="E131" s="135"/>
      <c r="F131" s="135"/>
      <c r="G131" s="135"/>
      <c r="H131" s="136"/>
      <c r="I131" s="137"/>
    </row>
    <row r="132" spans="1:9" ht="15.75" customHeight="1">
      <c r="A132" s="135"/>
      <c r="B132" s="135"/>
      <c r="C132" s="136"/>
      <c r="D132" s="136"/>
      <c r="E132" s="135"/>
      <c r="F132" s="135"/>
      <c r="G132" s="135"/>
      <c r="H132" s="136"/>
      <c r="I132" s="137"/>
    </row>
    <row r="133" spans="1:9" ht="15.75" customHeight="1">
      <c r="A133" s="135"/>
      <c r="B133" s="135"/>
      <c r="C133" s="136"/>
      <c r="D133" s="136"/>
      <c r="E133" s="135"/>
      <c r="F133" s="135"/>
      <c r="G133" s="135"/>
      <c r="H133" s="136"/>
      <c r="I133" s="137"/>
    </row>
    <row r="134" spans="1:9" ht="15.75" customHeight="1">
      <c r="A134" s="135"/>
      <c r="B134" s="135"/>
      <c r="C134" s="136"/>
      <c r="D134" s="136"/>
      <c r="E134" s="135"/>
      <c r="F134" s="135"/>
      <c r="G134" s="135"/>
      <c r="H134" s="136"/>
      <c r="I134" s="137"/>
    </row>
    <row r="135" spans="1:9" ht="15.75" customHeight="1">
      <c r="A135" s="135"/>
      <c r="B135" s="135"/>
      <c r="C135" s="136"/>
      <c r="D135" s="136"/>
      <c r="E135" s="135"/>
      <c r="F135" s="135"/>
      <c r="G135" s="135"/>
      <c r="H135" s="136"/>
      <c r="I135" s="137"/>
    </row>
    <row r="136" spans="1:9" ht="15.75" customHeight="1">
      <c r="A136" s="135"/>
      <c r="B136" s="135"/>
      <c r="C136" s="136"/>
      <c r="D136" s="136"/>
      <c r="E136" s="135"/>
      <c r="F136" s="135"/>
      <c r="G136" s="135"/>
      <c r="H136" s="136"/>
      <c r="I136" s="137"/>
    </row>
    <row r="137" spans="1:9" ht="15.75" customHeight="1">
      <c r="A137" s="135"/>
      <c r="B137" s="135"/>
      <c r="C137" s="136"/>
      <c r="D137" s="136"/>
      <c r="E137" s="135"/>
      <c r="F137" s="135"/>
      <c r="G137" s="135"/>
      <c r="H137" s="136"/>
      <c r="I137" s="137"/>
    </row>
    <row r="138" spans="1:9" ht="15.75" customHeight="1">
      <c r="A138" s="135"/>
      <c r="B138" s="135"/>
      <c r="C138" s="136"/>
      <c r="D138" s="136"/>
      <c r="E138" s="135"/>
      <c r="F138" s="135"/>
      <c r="G138" s="135"/>
      <c r="H138" s="136"/>
      <c r="I138" s="137"/>
    </row>
    <row r="139" spans="1:9" ht="15.75" customHeight="1">
      <c r="A139" s="135"/>
      <c r="B139" s="135"/>
      <c r="C139" s="136"/>
      <c r="D139" s="136"/>
      <c r="E139" s="135"/>
      <c r="F139" s="135"/>
      <c r="G139" s="135"/>
      <c r="H139" s="136"/>
      <c r="I139" s="137"/>
    </row>
    <row r="140" spans="1:9" ht="15.75" customHeight="1">
      <c r="A140" s="135"/>
      <c r="B140" s="135"/>
      <c r="C140" s="136"/>
      <c r="D140" s="136"/>
      <c r="E140" s="135"/>
      <c r="F140" s="135"/>
      <c r="G140" s="135"/>
      <c r="H140" s="136"/>
      <c r="I140" s="137"/>
    </row>
    <row r="141" spans="1:9" ht="15.75" customHeight="1">
      <c r="A141" s="135"/>
      <c r="B141" s="135"/>
      <c r="C141" s="136"/>
      <c r="D141" s="136"/>
      <c r="E141" s="135"/>
      <c r="F141" s="135"/>
      <c r="G141" s="135"/>
      <c r="H141" s="136"/>
      <c r="I141" s="137"/>
    </row>
    <row r="142" spans="1:9" ht="15.75" customHeight="1">
      <c r="A142" s="135"/>
      <c r="B142" s="135"/>
      <c r="C142" s="136"/>
      <c r="D142" s="136"/>
      <c r="E142" s="135"/>
      <c r="F142" s="135"/>
      <c r="G142" s="135"/>
      <c r="H142" s="136"/>
      <c r="I142" s="137"/>
    </row>
    <row r="143" spans="1:9" ht="15.75" customHeight="1">
      <c r="A143" s="135"/>
      <c r="B143" s="135"/>
      <c r="C143" s="136"/>
      <c r="D143" s="136"/>
      <c r="E143" s="135"/>
      <c r="F143" s="135"/>
      <c r="G143" s="135"/>
      <c r="H143" s="136"/>
      <c r="I143" s="137"/>
    </row>
    <row r="144" spans="1:9" ht="15.75" customHeight="1">
      <c r="A144" s="135"/>
      <c r="B144" s="135"/>
      <c r="C144" s="136"/>
      <c r="D144" s="136"/>
      <c r="E144" s="135"/>
      <c r="F144" s="135"/>
      <c r="G144" s="135"/>
      <c r="H144" s="136"/>
      <c r="I144" s="137"/>
    </row>
    <row r="145" spans="1:9" ht="15.75" customHeight="1">
      <c r="A145" s="135"/>
      <c r="B145" s="135"/>
      <c r="C145" s="136"/>
      <c r="D145" s="136"/>
      <c r="E145" s="135"/>
      <c r="F145" s="135"/>
      <c r="G145" s="135"/>
      <c r="H145" s="136"/>
      <c r="I145" s="137"/>
    </row>
    <row r="146" spans="1:9" ht="15.75" customHeight="1">
      <c r="A146" s="135"/>
      <c r="B146" s="135"/>
      <c r="C146" s="136"/>
      <c r="D146" s="136"/>
      <c r="E146" s="135"/>
      <c r="F146" s="135"/>
      <c r="G146" s="135"/>
      <c r="H146" s="136"/>
      <c r="I146" s="137"/>
    </row>
    <row r="147" spans="1:9" ht="15.75" customHeight="1">
      <c r="A147" s="135"/>
      <c r="B147" s="135"/>
      <c r="C147" s="136"/>
      <c r="D147" s="136"/>
      <c r="E147" s="135"/>
      <c r="F147" s="135"/>
      <c r="G147" s="135"/>
      <c r="H147" s="136"/>
      <c r="I147" s="137"/>
    </row>
    <row r="148" spans="1:9" ht="15.75" customHeight="1">
      <c r="A148" s="135"/>
      <c r="B148" s="135"/>
      <c r="C148" s="136"/>
      <c r="D148" s="136"/>
      <c r="E148" s="135"/>
      <c r="F148" s="135"/>
      <c r="G148" s="135"/>
      <c r="H148" s="136"/>
      <c r="I148" s="137"/>
    </row>
    <row r="149" spans="1:9" ht="15.75" customHeight="1">
      <c r="A149" s="135"/>
      <c r="B149" s="135"/>
      <c r="C149" s="136"/>
      <c r="D149" s="136"/>
      <c r="E149" s="135"/>
      <c r="F149" s="135"/>
      <c r="G149" s="135"/>
      <c r="H149" s="136"/>
      <c r="I149" s="137"/>
    </row>
    <row r="150" spans="1:9" ht="15.75" customHeight="1">
      <c r="A150" s="135"/>
      <c r="B150" s="135"/>
      <c r="C150" s="136"/>
      <c r="D150" s="136"/>
      <c r="E150" s="135"/>
      <c r="F150" s="135"/>
      <c r="G150" s="135"/>
      <c r="H150" s="136"/>
      <c r="I150" s="137"/>
    </row>
    <row r="151" spans="1:9" ht="15.75" customHeight="1">
      <c r="A151" s="135"/>
      <c r="B151" s="135"/>
      <c r="C151" s="136"/>
      <c r="D151" s="136"/>
      <c r="E151" s="135"/>
      <c r="F151" s="135"/>
      <c r="G151" s="135"/>
      <c r="H151" s="136"/>
      <c r="I151" s="137"/>
    </row>
    <row r="152" spans="1:9" ht="15.75" customHeight="1">
      <c r="A152" s="135"/>
      <c r="B152" s="135"/>
      <c r="C152" s="136"/>
      <c r="D152" s="136"/>
      <c r="E152" s="135"/>
      <c r="F152" s="135"/>
      <c r="G152" s="135"/>
      <c r="H152" s="136"/>
      <c r="I152" s="137"/>
    </row>
    <row r="153" spans="1:9" ht="15.75" customHeight="1">
      <c r="A153" s="135"/>
      <c r="B153" s="135"/>
      <c r="C153" s="136"/>
      <c r="D153" s="136"/>
      <c r="E153" s="135"/>
      <c r="F153" s="135"/>
      <c r="G153" s="135"/>
      <c r="H153" s="136"/>
      <c r="I153" s="137"/>
    </row>
    <row r="154" spans="1:9" ht="15.75" customHeight="1">
      <c r="A154" s="135"/>
      <c r="B154" s="135"/>
      <c r="C154" s="136"/>
      <c r="D154" s="136"/>
      <c r="E154" s="135"/>
      <c r="F154" s="135"/>
      <c r="G154" s="135"/>
      <c r="H154" s="136"/>
      <c r="I154" s="137"/>
    </row>
    <row r="155" spans="1:9" ht="15.75" customHeight="1">
      <c r="A155" s="135"/>
      <c r="B155" s="135"/>
      <c r="C155" s="136"/>
      <c r="D155" s="136"/>
      <c r="E155" s="135"/>
      <c r="F155" s="135"/>
      <c r="G155" s="135"/>
      <c r="H155" s="136"/>
      <c r="I155" s="137"/>
    </row>
    <row r="156" spans="1:9" ht="15.75" customHeight="1">
      <c r="A156" s="135"/>
      <c r="B156" s="135"/>
      <c r="C156" s="136"/>
      <c r="D156" s="136"/>
      <c r="E156" s="135"/>
      <c r="F156" s="135"/>
      <c r="G156" s="135"/>
      <c r="H156" s="136"/>
      <c r="I156" s="137"/>
    </row>
    <row r="157" spans="1:9" ht="15.75" customHeight="1">
      <c r="A157" s="135"/>
      <c r="B157" s="135"/>
      <c r="C157" s="136"/>
      <c r="D157" s="136"/>
      <c r="E157" s="135"/>
      <c r="F157" s="135"/>
      <c r="G157" s="135"/>
      <c r="H157" s="136"/>
      <c r="I157" s="137"/>
    </row>
    <row r="158" spans="1:9" ht="15.75" customHeight="1">
      <c r="A158" s="135"/>
      <c r="B158" s="135"/>
      <c r="C158" s="136"/>
      <c r="D158" s="136"/>
      <c r="E158" s="135"/>
      <c r="F158" s="135"/>
      <c r="G158" s="135"/>
      <c r="H158" s="136"/>
      <c r="I158" s="137"/>
    </row>
    <row r="159" spans="1:9" ht="15.75" customHeight="1">
      <c r="A159" s="135"/>
      <c r="B159" s="135"/>
      <c r="C159" s="136"/>
      <c r="D159" s="136"/>
      <c r="E159" s="135"/>
      <c r="F159" s="135"/>
      <c r="G159" s="135"/>
      <c r="H159" s="136"/>
      <c r="I159" s="137"/>
    </row>
    <row r="160" spans="1:9" ht="15.75" customHeight="1">
      <c r="A160" s="135"/>
      <c r="B160" s="135"/>
      <c r="C160" s="136"/>
      <c r="D160" s="136"/>
      <c r="E160" s="135"/>
      <c r="F160" s="135"/>
      <c r="G160" s="135"/>
      <c r="H160" s="136"/>
      <c r="I160" s="137"/>
    </row>
    <row r="161" spans="1:9" ht="15.75" customHeight="1">
      <c r="A161" s="135"/>
      <c r="B161" s="135"/>
      <c r="C161" s="136"/>
      <c r="D161" s="136"/>
      <c r="E161" s="135"/>
      <c r="F161" s="135"/>
      <c r="G161" s="135"/>
      <c r="H161" s="136"/>
      <c r="I161" s="137"/>
    </row>
    <row r="162" spans="1:9" ht="15.75" customHeight="1">
      <c r="A162" s="135"/>
      <c r="B162" s="135"/>
      <c r="C162" s="136"/>
      <c r="D162" s="136"/>
      <c r="E162" s="135"/>
      <c r="F162" s="135"/>
      <c r="G162" s="135"/>
      <c r="H162" s="136"/>
      <c r="I162" s="137"/>
    </row>
    <row r="163" spans="1:9" ht="15.75" customHeight="1">
      <c r="A163" s="135"/>
      <c r="B163" s="135"/>
      <c r="C163" s="136"/>
      <c r="D163" s="136"/>
      <c r="E163" s="135"/>
      <c r="F163" s="135"/>
      <c r="G163" s="135"/>
      <c r="H163" s="136"/>
      <c r="I163" s="137"/>
    </row>
    <row r="164" spans="1:9" ht="15.75" customHeight="1">
      <c r="A164" s="135"/>
      <c r="B164" s="135"/>
      <c r="C164" s="136"/>
      <c r="D164" s="136"/>
      <c r="E164" s="135"/>
      <c r="F164" s="135"/>
      <c r="G164" s="135"/>
      <c r="H164" s="136"/>
      <c r="I164" s="137"/>
    </row>
    <row r="165" spans="1:9" ht="15.75" customHeight="1">
      <c r="A165" s="135"/>
      <c r="B165" s="135"/>
      <c r="C165" s="136"/>
      <c r="D165" s="136"/>
      <c r="E165" s="135"/>
      <c r="F165" s="135"/>
      <c r="G165" s="135"/>
      <c r="H165" s="136"/>
      <c r="I165" s="137"/>
    </row>
    <row r="166" spans="1:9" ht="15.75" customHeight="1">
      <c r="A166" s="135"/>
      <c r="B166" s="135"/>
      <c r="C166" s="136"/>
      <c r="D166" s="136"/>
      <c r="E166" s="135"/>
      <c r="F166" s="135"/>
      <c r="G166" s="135"/>
      <c r="H166" s="136"/>
      <c r="I166" s="137"/>
    </row>
    <row r="167" spans="1:9" ht="15.75" customHeight="1">
      <c r="A167" s="135"/>
      <c r="B167" s="135"/>
      <c r="C167" s="136"/>
      <c r="D167" s="136"/>
      <c r="E167" s="135"/>
      <c r="F167" s="135"/>
      <c r="G167" s="135"/>
      <c r="H167" s="136"/>
      <c r="I167" s="137"/>
    </row>
    <row r="168" spans="1:9" ht="15.75" customHeight="1">
      <c r="A168" s="135"/>
      <c r="B168" s="135"/>
      <c r="C168" s="136"/>
      <c r="D168" s="136"/>
      <c r="E168" s="135"/>
      <c r="F168" s="135"/>
      <c r="G168" s="135"/>
      <c r="H168" s="136"/>
      <c r="I168" s="137"/>
    </row>
    <row r="169" spans="1:9" ht="15.75" customHeight="1">
      <c r="A169" s="135"/>
      <c r="B169" s="135"/>
      <c r="C169" s="136"/>
      <c r="D169" s="136"/>
      <c r="E169" s="135"/>
      <c r="F169" s="135"/>
      <c r="G169" s="135"/>
      <c r="H169" s="136"/>
      <c r="I169" s="137"/>
    </row>
    <row r="170" spans="1:9" ht="15.75" customHeight="1">
      <c r="A170" s="135"/>
      <c r="B170" s="135"/>
      <c r="C170" s="136"/>
      <c r="D170" s="136"/>
      <c r="E170" s="135"/>
      <c r="F170" s="135"/>
      <c r="G170" s="135"/>
      <c r="H170" s="136"/>
      <c r="I170" s="137"/>
    </row>
    <row r="171" spans="1:9" ht="15.75" customHeight="1">
      <c r="A171" s="135"/>
      <c r="B171" s="135"/>
      <c r="C171" s="136"/>
      <c r="D171" s="136"/>
      <c r="E171" s="135"/>
      <c r="F171" s="135"/>
      <c r="G171" s="135"/>
      <c r="H171" s="136"/>
      <c r="I171" s="137"/>
    </row>
    <row r="172" spans="1:9" ht="15.75" customHeight="1">
      <c r="A172" s="135"/>
      <c r="B172" s="135"/>
      <c r="C172" s="136"/>
      <c r="D172" s="136"/>
      <c r="E172" s="135"/>
      <c r="F172" s="135"/>
      <c r="G172" s="135"/>
      <c r="H172" s="136"/>
      <c r="I172" s="137"/>
    </row>
    <row r="173" spans="1:9" ht="15.75" customHeight="1">
      <c r="A173" s="135"/>
      <c r="B173" s="135"/>
      <c r="C173" s="136"/>
      <c r="D173" s="136"/>
      <c r="E173" s="135"/>
      <c r="F173" s="135"/>
      <c r="G173" s="135"/>
      <c r="H173" s="136"/>
      <c r="I173" s="137"/>
    </row>
    <row r="174" spans="1:9" ht="15.75" customHeight="1">
      <c r="A174" s="135"/>
      <c r="B174" s="135"/>
      <c r="C174" s="136"/>
      <c r="D174" s="136"/>
      <c r="E174" s="135"/>
      <c r="F174" s="135"/>
      <c r="G174" s="135"/>
      <c r="H174" s="136"/>
      <c r="I174" s="137"/>
    </row>
    <row r="175" spans="1:9" ht="15.75" customHeight="1">
      <c r="A175" s="135"/>
      <c r="B175" s="135"/>
      <c r="C175" s="136"/>
      <c r="D175" s="136"/>
      <c r="E175" s="135"/>
      <c r="F175" s="135"/>
      <c r="G175" s="135"/>
      <c r="H175" s="136"/>
      <c r="I175" s="137"/>
    </row>
    <row r="176" spans="1:9" ht="15.75" customHeight="1">
      <c r="A176" s="135"/>
      <c r="B176" s="135"/>
      <c r="C176" s="136"/>
      <c r="D176" s="136"/>
      <c r="E176" s="135"/>
      <c r="F176" s="135"/>
      <c r="G176" s="135"/>
      <c r="H176" s="136"/>
      <c r="I176" s="137"/>
    </row>
    <row r="177" spans="1:9" ht="15.75" customHeight="1">
      <c r="A177" s="135"/>
      <c r="B177" s="135"/>
      <c r="C177" s="136"/>
      <c r="D177" s="136"/>
      <c r="E177" s="135"/>
      <c r="F177" s="135"/>
      <c r="G177" s="135"/>
      <c r="H177" s="136"/>
      <c r="I177" s="137"/>
    </row>
    <row r="178" spans="1:9" ht="15.75" customHeight="1">
      <c r="A178" s="135"/>
      <c r="B178" s="135"/>
      <c r="C178" s="136"/>
      <c r="D178" s="136"/>
      <c r="E178" s="135"/>
      <c r="F178" s="135"/>
      <c r="G178" s="135"/>
      <c r="H178" s="136"/>
      <c r="I178" s="137"/>
    </row>
    <row r="179" spans="1:9" ht="15.75" customHeight="1">
      <c r="A179" s="135"/>
      <c r="B179" s="135"/>
      <c r="C179" s="136"/>
      <c r="D179" s="136"/>
      <c r="E179" s="135"/>
      <c r="F179" s="135"/>
      <c r="G179" s="135"/>
      <c r="H179" s="136"/>
      <c r="I179" s="137"/>
    </row>
    <row r="180" spans="1:9" ht="15.75" customHeight="1">
      <c r="A180" s="135"/>
      <c r="B180" s="135"/>
      <c r="C180" s="136"/>
      <c r="D180" s="136"/>
      <c r="E180" s="135"/>
      <c r="F180" s="135"/>
      <c r="G180" s="135"/>
      <c r="H180" s="136"/>
      <c r="I180" s="137"/>
    </row>
    <row r="181" spans="1:9" ht="15.75" customHeight="1">
      <c r="A181" s="135"/>
      <c r="B181" s="135"/>
      <c r="C181" s="136"/>
      <c r="D181" s="136"/>
      <c r="E181" s="135"/>
      <c r="F181" s="135"/>
      <c r="G181" s="135"/>
      <c r="H181" s="136"/>
      <c r="I181" s="137"/>
    </row>
    <row r="182" spans="1:9" ht="15.75" customHeight="1">
      <c r="A182" s="135"/>
      <c r="B182" s="135"/>
      <c r="C182" s="136"/>
      <c r="D182" s="136"/>
      <c r="E182" s="135"/>
      <c r="F182" s="135"/>
      <c r="G182" s="135"/>
      <c r="H182" s="136"/>
      <c r="I182" s="137"/>
    </row>
    <row r="183" spans="1:9" ht="15.75" customHeight="1">
      <c r="A183" s="135"/>
      <c r="B183" s="135"/>
      <c r="C183" s="136"/>
      <c r="D183" s="136"/>
      <c r="E183" s="135"/>
      <c r="F183" s="135"/>
      <c r="G183" s="135"/>
      <c r="H183" s="136"/>
      <c r="I183" s="137"/>
    </row>
    <row r="184" spans="1:9" ht="15.75" customHeight="1">
      <c r="A184" s="135"/>
      <c r="B184" s="135"/>
      <c r="C184" s="136"/>
      <c r="D184" s="136"/>
      <c r="E184" s="135"/>
      <c r="F184" s="135"/>
      <c r="G184" s="135"/>
      <c r="H184" s="136"/>
      <c r="I184" s="137"/>
    </row>
    <row r="185" spans="1:9" ht="15.75" customHeight="1">
      <c r="A185" s="135"/>
      <c r="B185" s="135"/>
      <c r="C185" s="136"/>
      <c r="D185" s="136"/>
      <c r="E185" s="135"/>
      <c r="F185" s="135"/>
      <c r="G185" s="135"/>
      <c r="H185" s="136"/>
      <c r="I185" s="137"/>
    </row>
    <row r="186" spans="1:9" ht="15.75" customHeight="1">
      <c r="A186" s="135"/>
      <c r="B186" s="135"/>
      <c r="C186" s="136"/>
      <c r="D186" s="136"/>
      <c r="E186" s="135"/>
      <c r="F186" s="135"/>
      <c r="G186" s="135"/>
      <c r="H186" s="136"/>
      <c r="I186" s="137"/>
    </row>
    <row r="187" spans="1:9" ht="15.75" customHeight="1">
      <c r="A187" s="135"/>
      <c r="B187" s="135"/>
      <c r="C187" s="136"/>
      <c r="D187" s="136"/>
      <c r="E187" s="135"/>
      <c r="F187" s="135"/>
      <c r="G187" s="135"/>
      <c r="H187" s="136"/>
      <c r="I187" s="137"/>
    </row>
    <row r="188" spans="1:9" ht="15.75" customHeight="1">
      <c r="A188" s="135"/>
      <c r="B188" s="135"/>
      <c r="C188" s="136"/>
      <c r="D188" s="136"/>
      <c r="E188" s="135"/>
      <c r="F188" s="135"/>
      <c r="G188" s="135"/>
      <c r="H188" s="136"/>
      <c r="I188" s="137"/>
    </row>
    <row r="189" spans="1:9" ht="15.75" customHeight="1">
      <c r="A189" s="135"/>
      <c r="B189" s="135"/>
      <c r="C189" s="136"/>
      <c r="D189" s="136"/>
      <c r="E189" s="135"/>
      <c r="F189" s="135"/>
      <c r="G189" s="135"/>
      <c r="H189" s="136"/>
      <c r="I189" s="137"/>
    </row>
    <row r="190" spans="1:9" ht="15.75" customHeight="1">
      <c r="A190" s="135"/>
      <c r="B190" s="135"/>
      <c r="C190" s="136"/>
      <c r="D190" s="136"/>
      <c r="E190" s="135"/>
      <c r="F190" s="135"/>
      <c r="G190" s="135"/>
      <c r="H190" s="136"/>
      <c r="I190" s="137"/>
    </row>
    <row r="191" spans="1:9" ht="15.75" customHeight="1">
      <c r="A191" s="135"/>
      <c r="B191" s="135"/>
      <c r="C191" s="136"/>
      <c r="D191" s="136"/>
      <c r="E191" s="135"/>
      <c r="F191" s="135"/>
      <c r="G191" s="135"/>
      <c r="H191" s="136"/>
      <c r="I191" s="137"/>
    </row>
    <row r="192" spans="1:9" ht="15.75" customHeight="1">
      <c r="A192" s="135"/>
      <c r="B192" s="135"/>
      <c r="C192" s="136"/>
      <c r="D192" s="136"/>
      <c r="E192" s="135"/>
      <c r="F192" s="135"/>
      <c r="G192" s="135"/>
      <c r="H192" s="136"/>
      <c r="I192" s="137"/>
    </row>
    <row r="193" spans="1:9" ht="15.75" customHeight="1">
      <c r="A193" s="135"/>
      <c r="B193" s="135"/>
      <c r="C193" s="136"/>
      <c r="D193" s="136"/>
      <c r="E193" s="135"/>
      <c r="F193" s="135"/>
      <c r="G193" s="135"/>
      <c r="H193" s="136"/>
      <c r="I193" s="137"/>
    </row>
    <row r="194" spans="1:9" ht="15.75" customHeight="1">
      <c r="A194" s="135"/>
      <c r="B194" s="135"/>
      <c r="C194" s="136"/>
      <c r="D194" s="136"/>
      <c r="E194" s="135"/>
      <c r="F194" s="135"/>
      <c r="G194" s="135"/>
      <c r="H194" s="136"/>
      <c r="I194" s="137"/>
    </row>
    <row r="195" spans="1:9" ht="15.75" customHeight="1">
      <c r="A195" s="135"/>
      <c r="B195" s="135"/>
      <c r="C195" s="136"/>
      <c r="D195" s="136"/>
      <c r="E195" s="135"/>
      <c r="F195" s="135"/>
      <c r="G195" s="135"/>
      <c r="H195" s="136"/>
      <c r="I195" s="137"/>
    </row>
    <row r="196" spans="1:9" ht="15.75" customHeight="1">
      <c r="A196" s="135"/>
      <c r="B196" s="135"/>
      <c r="C196" s="136"/>
      <c r="D196" s="136"/>
      <c r="E196" s="135"/>
      <c r="F196" s="135"/>
      <c r="G196" s="135"/>
      <c r="H196" s="136"/>
      <c r="I196" s="137"/>
    </row>
    <row r="197" spans="1:9" ht="15.75" customHeight="1">
      <c r="A197" s="135"/>
      <c r="B197" s="135"/>
      <c r="C197" s="136"/>
      <c r="D197" s="136"/>
      <c r="E197" s="135"/>
      <c r="F197" s="135"/>
      <c r="G197" s="135"/>
      <c r="H197" s="136"/>
      <c r="I197" s="137"/>
    </row>
    <row r="198" spans="1:9" ht="15.75" customHeight="1">
      <c r="A198" s="135"/>
      <c r="B198" s="135"/>
      <c r="C198" s="136"/>
      <c r="D198" s="136"/>
      <c r="E198" s="135"/>
      <c r="F198" s="135"/>
      <c r="G198" s="135"/>
      <c r="H198" s="136"/>
      <c r="I198" s="137"/>
    </row>
    <row r="199" spans="1:9" ht="15.75" customHeight="1">
      <c r="A199" s="135"/>
      <c r="B199" s="135"/>
      <c r="C199" s="136"/>
      <c r="D199" s="136"/>
      <c r="E199" s="135"/>
      <c r="F199" s="135"/>
      <c r="G199" s="135"/>
      <c r="H199" s="136"/>
      <c r="I199" s="137"/>
    </row>
    <row r="200" spans="1:9" ht="15.75" customHeight="1">
      <c r="A200" s="135"/>
      <c r="B200" s="135"/>
      <c r="C200" s="136"/>
      <c r="D200" s="136"/>
      <c r="E200" s="135"/>
      <c r="F200" s="135"/>
      <c r="G200" s="135"/>
      <c r="H200" s="136"/>
      <c r="I200" s="137"/>
    </row>
    <row r="201" spans="1:9" ht="15.75" customHeight="1">
      <c r="A201" s="135"/>
      <c r="B201" s="135"/>
      <c r="C201" s="136"/>
      <c r="D201" s="136"/>
      <c r="E201" s="135"/>
      <c r="F201" s="135"/>
      <c r="G201" s="135"/>
      <c r="H201" s="136"/>
      <c r="I201" s="137"/>
    </row>
    <row r="202" spans="1:9" ht="15.75" customHeight="1">
      <c r="A202" s="135"/>
      <c r="B202" s="135"/>
      <c r="C202" s="136"/>
      <c r="D202" s="136"/>
      <c r="E202" s="135"/>
      <c r="F202" s="135"/>
      <c r="G202" s="135"/>
      <c r="H202" s="136"/>
      <c r="I202" s="137"/>
    </row>
    <row r="203" spans="1:9" ht="15.75" customHeight="1">
      <c r="A203" s="135"/>
      <c r="B203" s="135"/>
      <c r="C203" s="136"/>
      <c r="D203" s="136"/>
      <c r="E203" s="135"/>
      <c r="F203" s="135"/>
      <c r="G203" s="135"/>
      <c r="H203" s="136"/>
      <c r="I203" s="137"/>
    </row>
    <row r="204" spans="1:9" ht="15.75" customHeight="1">
      <c r="A204" s="135"/>
      <c r="B204" s="135"/>
      <c r="C204" s="136"/>
      <c r="D204" s="136"/>
      <c r="E204" s="135"/>
      <c r="F204" s="135"/>
      <c r="G204" s="135"/>
      <c r="H204" s="136"/>
      <c r="I204" s="137"/>
    </row>
    <row r="205" spans="1:9" ht="15.75" customHeight="1">
      <c r="A205" s="135"/>
      <c r="B205" s="135"/>
      <c r="C205" s="136"/>
      <c r="D205" s="136"/>
      <c r="E205" s="135"/>
      <c r="F205" s="135"/>
      <c r="G205" s="135"/>
      <c r="H205" s="136"/>
      <c r="I205" s="137"/>
    </row>
    <row r="206" spans="1:9" ht="15.75" customHeight="1">
      <c r="A206" s="135"/>
      <c r="B206" s="135"/>
      <c r="C206" s="136"/>
      <c r="D206" s="136"/>
      <c r="E206" s="135"/>
      <c r="F206" s="135"/>
      <c r="G206" s="135"/>
      <c r="H206" s="136"/>
      <c r="I206" s="137"/>
    </row>
    <row r="207" spans="1:9" ht="15.75" customHeight="1">
      <c r="A207" s="135"/>
      <c r="B207" s="135"/>
      <c r="C207" s="136"/>
      <c r="D207" s="136"/>
      <c r="E207" s="135"/>
      <c r="F207" s="135"/>
      <c r="G207" s="135"/>
      <c r="H207" s="136"/>
      <c r="I207" s="137"/>
    </row>
    <row r="208" spans="1:9" ht="15.75" customHeight="1">
      <c r="A208" s="135"/>
      <c r="B208" s="135"/>
      <c r="C208" s="136"/>
      <c r="D208" s="136"/>
      <c r="E208" s="135"/>
      <c r="F208" s="135"/>
      <c r="G208" s="135"/>
      <c r="H208" s="136"/>
      <c r="I208" s="137"/>
    </row>
    <row r="209" spans="1:9" ht="15.75" customHeight="1">
      <c r="A209" s="135"/>
      <c r="B209" s="135"/>
      <c r="C209" s="136"/>
      <c r="D209" s="136"/>
      <c r="E209" s="135"/>
      <c r="F209" s="135"/>
      <c r="G209" s="135"/>
      <c r="H209" s="136"/>
      <c r="I209" s="137"/>
    </row>
    <row r="210" spans="1:9" ht="15.75" customHeight="1">
      <c r="A210" s="135"/>
      <c r="B210" s="135"/>
      <c r="C210" s="136"/>
      <c r="D210" s="136"/>
      <c r="E210" s="135"/>
      <c r="F210" s="135"/>
      <c r="G210" s="135"/>
      <c r="H210" s="136"/>
      <c r="I210" s="137"/>
    </row>
    <row r="211" spans="1:9" ht="15.75" customHeight="1">
      <c r="A211" s="135"/>
      <c r="B211" s="135"/>
      <c r="C211" s="136"/>
      <c r="D211" s="136"/>
      <c r="E211" s="135"/>
      <c r="F211" s="135"/>
      <c r="G211" s="135"/>
      <c r="H211" s="136"/>
      <c r="I211" s="137"/>
    </row>
    <row r="212" spans="1:9" ht="15.75" customHeight="1">
      <c r="A212" s="135"/>
      <c r="B212" s="135"/>
      <c r="C212" s="136"/>
      <c r="D212" s="136"/>
      <c r="E212" s="135"/>
      <c r="F212" s="135"/>
      <c r="G212" s="135"/>
      <c r="H212" s="136"/>
      <c r="I212" s="137"/>
    </row>
    <row r="213" spans="1:9" ht="15.75" customHeight="1">
      <c r="A213" s="135"/>
      <c r="B213" s="135"/>
      <c r="C213" s="136"/>
      <c r="D213" s="136"/>
      <c r="E213" s="135"/>
      <c r="F213" s="135"/>
      <c r="G213" s="135"/>
      <c r="H213" s="136"/>
      <c r="I213" s="137"/>
    </row>
    <row r="214" spans="1:9" ht="15.75" customHeight="1">
      <c r="A214" s="135"/>
      <c r="B214" s="135"/>
      <c r="C214" s="136"/>
      <c r="D214" s="136"/>
      <c r="E214" s="135"/>
      <c r="F214" s="135"/>
      <c r="G214" s="135"/>
      <c r="H214" s="136"/>
      <c r="I214" s="137"/>
    </row>
    <row r="215" spans="1:9" ht="15.75" customHeight="1">
      <c r="A215" s="135"/>
      <c r="B215" s="135"/>
      <c r="C215" s="136"/>
      <c r="D215" s="136"/>
      <c r="E215" s="135"/>
      <c r="F215" s="135"/>
      <c r="G215" s="135"/>
      <c r="H215" s="136"/>
      <c r="I215" s="137"/>
    </row>
    <row r="216" spans="1:9" ht="15.75" customHeight="1">
      <c r="A216" s="135"/>
      <c r="B216" s="135"/>
      <c r="C216" s="136"/>
      <c r="D216" s="136"/>
      <c r="E216" s="135"/>
      <c r="F216" s="135"/>
      <c r="G216" s="135"/>
      <c r="H216" s="136"/>
      <c r="I216" s="137"/>
    </row>
    <row r="217" spans="1:9" ht="15.75" customHeight="1">
      <c r="A217" s="135"/>
      <c r="B217" s="135"/>
      <c r="C217" s="136"/>
      <c r="D217" s="136"/>
      <c r="E217" s="135"/>
      <c r="F217" s="135"/>
      <c r="G217" s="135"/>
      <c r="H217" s="136"/>
      <c r="I217" s="137"/>
    </row>
    <row r="218" spans="1:9" ht="15.75" customHeight="1">
      <c r="A218" s="135"/>
      <c r="B218" s="135"/>
      <c r="C218" s="136"/>
      <c r="D218" s="136"/>
      <c r="E218" s="135"/>
      <c r="F218" s="135"/>
      <c r="G218" s="135"/>
      <c r="H218" s="136"/>
      <c r="I218" s="137"/>
    </row>
    <row r="219" spans="1:9" ht="15.75" customHeight="1">
      <c r="A219" s="135"/>
      <c r="B219" s="135"/>
      <c r="C219" s="136"/>
      <c r="D219" s="136"/>
      <c r="E219" s="135"/>
      <c r="F219" s="135"/>
      <c r="G219" s="135"/>
      <c r="H219" s="136"/>
      <c r="I219" s="137"/>
    </row>
    <row r="220" spans="1:9" ht="15.75" customHeight="1">
      <c r="A220" s="135"/>
      <c r="B220" s="135"/>
      <c r="C220" s="136"/>
      <c r="D220" s="136"/>
      <c r="E220" s="135"/>
      <c r="F220" s="135"/>
      <c r="G220" s="135"/>
      <c r="H220" s="136"/>
      <c r="I220" s="137"/>
    </row>
    <row r="221" spans="1:9" ht="15.75" customHeight="1">
      <c r="A221" s="135"/>
      <c r="B221" s="135"/>
      <c r="C221" s="136"/>
      <c r="D221" s="136"/>
      <c r="E221" s="135"/>
      <c r="F221" s="135"/>
      <c r="G221" s="135"/>
      <c r="H221" s="136"/>
      <c r="I221" s="137"/>
    </row>
    <row r="222" spans="1:9" ht="15.75" customHeight="1">
      <c r="A222" s="135"/>
      <c r="B222" s="135"/>
      <c r="C222" s="136"/>
      <c r="D222" s="136"/>
      <c r="E222" s="135"/>
      <c r="F222" s="135"/>
      <c r="G222" s="135"/>
      <c r="H222" s="136"/>
      <c r="I222" s="137"/>
    </row>
    <row r="223" spans="1:9" ht="15.75" customHeight="1">
      <c r="A223" s="135"/>
      <c r="B223" s="135"/>
      <c r="C223" s="136"/>
      <c r="D223" s="136"/>
      <c r="E223" s="135"/>
      <c r="F223" s="135"/>
      <c r="G223" s="135"/>
      <c r="H223" s="136"/>
      <c r="I223" s="137"/>
    </row>
    <row r="224" spans="1:9" ht="15.75" customHeight="1">
      <c r="A224" s="135"/>
      <c r="B224" s="135"/>
      <c r="C224" s="136"/>
      <c r="D224" s="136"/>
      <c r="E224" s="135"/>
      <c r="F224" s="135"/>
      <c r="G224" s="135"/>
      <c r="H224" s="136"/>
      <c r="I224" s="137"/>
    </row>
    <row r="225" spans="1:9" ht="15.75" customHeight="1">
      <c r="A225" s="135"/>
      <c r="B225" s="135"/>
      <c r="C225" s="136"/>
      <c r="D225" s="136"/>
      <c r="E225" s="135"/>
      <c r="F225" s="135"/>
      <c r="G225" s="135"/>
      <c r="H225" s="136"/>
      <c r="I225" s="137"/>
    </row>
    <row r="226" spans="1:9" ht="15.75" customHeight="1">
      <c r="A226" s="135"/>
      <c r="B226" s="135"/>
      <c r="C226" s="136"/>
      <c r="D226" s="136"/>
      <c r="E226" s="135"/>
      <c r="F226" s="135"/>
      <c r="G226" s="135"/>
      <c r="H226" s="136"/>
      <c r="I226" s="137"/>
    </row>
    <row r="227" spans="1:9" ht="15.75" customHeight="1">
      <c r="A227" s="135"/>
      <c r="B227" s="135"/>
      <c r="C227" s="136"/>
      <c r="D227" s="136"/>
      <c r="E227" s="135"/>
      <c r="F227" s="135"/>
      <c r="G227" s="135"/>
      <c r="H227" s="136"/>
      <c r="I227" s="137"/>
    </row>
    <row r="228" spans="1:9" ht="15.75" customHeight="1">
      <c r="A228" s="135"/>
      <c r="B228" s="135"/>
      <c r="C228" s="136"/>
      <c r="D228" s="136"/>
      <c r="E228" s="135"/>
      <c r="F228" s="135"/>
      <c r="G228" s="135"/>
      <c r="H228" s="136"/>
      <c r="I228" s="137"/>
    </row>
    <row r="229" spans="1:9" ht="15.75" customHeight="1">
      <c r="A229" s="135"/>
      <c r="B229" s="135"/>
      <c r="C229" s="136"/>
      <c r="D229" s="136"/>
      <c r="E229" s="135"/>
      <c r="F229" s="135"/>
      <c r="G229" s="135"/>
      <c r="H229" s="136"/>
      <c r="I229" s="137"/>
    </row>
    <row r="230" spans="1:9" ht="15.75" customHeight="1">
      <c r="A230" s="135"/>
      <c r="B230" s="135"/>
      <c r="C230" s="136"/>
      <c r="D230" s="136"/>
      <c r="E230" s="135"/>
      <c r="F230" s="135"/>
      <c r="G230" s="135"/>
      <c r="H230" s="136"/>
      <c r="I230" s="137"/>
    </row>
    <row r="231" spans="1:9" ht="15.75" customHeight="1">
      <c r="A231" s="135"/>
      <c r="B231" s="135"/>
      <c r="C231" s="136"/>
      <c r="D231" s="136"/>
      <c r="E231" s="135"/>
      <c r="F231" s="135"/>
      <c r="G231" s="135"/>
      <c r="H231" s="136"/>
      <c r="I231" s="137"/>
    </row>
    <row r="232" spans="1:9" ht="15.75" customHeight="1">
      <c r="A232" s="135"/>
      <c r="B232" s="135"/>
      <c r="C232" s="136"/>
      <c r="D232" s="136"/>
      <c r="E232" s="135"/>
      <c r="F232" s="135"/>
      <c r="G232" s="135"/>
      <c r="H232" s="136"/>
      <c r="I232" s="137"/>
    </row>
    <row r="233" spans="1:9" ht="15.75" customHeight="1">
      <c r="A233" s="135"/>
      <c r="B233" s="135"/>
      <c r="C233" s="136"/>
      <c r="D233" s="136"/>
      <c r="E233" s="135"/>
      <c r="F233" s="135"/>
      <c r="G233" s="135"/>
      <c r="H233" s="136"/>
      <c r="I233" s="137"/>
    </row>
    <row r="234" spans="1:9" ht="15.75" customHeight="1">
      <c r="A234" s="135"/>
      <c r="B234" s="135"/>
      <c r="C234" s="136"/>
      <c r="D234" s="136"/>
      <c r="E234" s="135"/>
      <c r="F234" s="135"/>
      <c r="G234" s="135"/>
      <c r="H234" s="136"/>
      <c r="I234" s="137"/>
    </row>
    <row r="235" spans="1:9" ht="15.75" customHeight="1">
      <c r="A235" s="135"/>
      <c r="B235" s="135"/>
      <c r="C235" s="136"/>
      <c r="D235" s="136"/>
      <c r="E235" s="135"/>
      <c r="F235" s="135"/>
      <c r="G235" s="135"/>
      <c r="H235" s="136"/>
      <c r="I235" s="137"/>
    </row>
    <row r="236" spans="1:9" ht="15.75" customHeight="1">
      <c r="A236" s="135"/>
      <c r="B236" s="135"/>
      <c r="C236" s="136"/>
      <c r="D236" s="136"/>
      <c r="E236" s="135"/>
      <c r="F236" s="135"/>
      <c r="G236" s="135"/>
      <c r="H236" s="136"/>
      <c r="I236" s="137"/>
    </row>
    <row r="237" spans="1:9" ht="15.75" customHeight="1">
      <c r="A237" s="135"/>
      <c r="B237" s="135"/>
      <c r="C237" s="136"/>
      <c r="D237" s="136"/>
      <c r="E237" s="135"/>
      <c r="F237" s="135"/>
      <c r="G237" s="135"/>
      <c r="H237" s="136"/>
      <c r="I237" s="137"/>
    </row>
    <row r="238" spans="1:9" ht="15.75" customHeight="1">
      <c r="A238" s="135"/>
      <c r="B238" s="135"/>
      <c r="C238" s="136"/>
      <c r="D238" s="136"/>
      <c r="E238" s="135"/>
      <c r="F238" s="135"/>
      <c r="G238" s="135"/>
      <c r="H238" s="136"/>
      <c r="I238" s="137"/>
    </row>
    <row r="239" spans="1:9" ht="15.75" customHeight="1">
      <c r="A239" s="135"/>
      <c r="B239" s="135"/>
      <c r="C239" s="136"/>
      <c r="D239" s="136"/>
      <c r="E239" s="135"/>
      <c r="F239" s="135"/>
      <c r="G239" s="135"/>
      <c r="H239" s="136"/>
      <c r="I239" s="137"/>
    </row>
    <row r="240" spans="1:9" ht="15.75" customHeight="1">
      <c r="A240" s="135"/>
      <c r="B240" s="135"/>
      <c r="C240" s="136"/>
      <c r="D240" s="136"/>
      <c r="E240" s="135"/>
      <c r="F240" s="135"/>
      <c r="G240" s="135"/>
      <c r="H240" s="136"/>
      <c r="I240" s="13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E22"/>
    <mergeCell ref="A1:I3"/>
    <mergeCell ref="A4:D4"/>
    <mergeCell ref="E4:I4"/>
    <mergeCell ref="I7:I8"/>
    <mergeCell ref="A16:B16"/>
    <mergeCell ref="E16:G16"/>
    <mergeCell ref="A25:I27"/>
    <mergeCell ref="A28:D28"/>
    <mergeCell ref="E28:I28"/>
    <mergeCell ref="I31:I32"/>
    <mergeCell ref="A40:B40"/>
    <mergeCell ref="E40:G40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Y1000"/>
  <sheetViews>
    <sheetView workbookViewId="0"/>
  </sheetViews>
  <sheetFormatPr defaultColWidth="12.6640625" defaultRowHeight="15" customHeight="1"/>
  <cols>
    <col min="1" max="1" width="24.77734375" customWidth="1"/>
    <col min="2" max="2" width="95.109375" customWidth="1"/>
    <col min="3" max="3" width="23" customWidth="1"/>
    <col min="4" max="6" width="12.6640625" customWidth="1"/>
  </cols>
  <sheetData>
    <row r="1" spans="1:25" ht="15.75" customHeight="1">
      <c r="A1" s="239" t="s">
        <v>302</v>
      </c>
      <c r="B1" s="156"/>
      <c r="C1" s="156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pans="1:25" ht="15.75" customHeight="1">
      <c r="A2" s="240" t="s">
        <v>303</v>
      </c>
      <c r="B2" s="156"/>
      <c r="C2" s="156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5" ht="15.7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 spans="1:25" ht="15.75" customHeight="1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</row>
    <row r="5" spans="1:25" ht="15.75" customHeight="1">
      <c r="A5" s="140" t="s">
        <v>304</v>
      </c>
      <c r="B5" s="140" t="s">
        <v>268</v>
      </c>
      <c r="C5" s="140" t="s">
        <v>305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61.5" customHeight="1">
      <c r="A6" s="124">
        <v>45915</v>
      </c>
      <c r="B6" s="141" t="s">
        <v>306</v>
      </c>
      <c r="C6" s="125" t="s">
        <v>307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</row>
    <row r="7" spans="1:25" ht="61.5" customHeight="1">
      <c r="A7" s="125" t="s">
        <v>308</v>
      </c>
      <c r="B7" s="143" t="s">
        <v>309</v>
      </c>
      <c r="C7" s="125" t="s">
        <v>310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</row>
    <row r="8" spans="1:25" ht="15.75" customHeight="1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</row>
    <row r="9" spans="1:25" ht="15.75" customHeight="1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</row>
    <row r="10" spans="1:25" ht="15.75" customHeight="1">
      <c r="A10" s="13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</row>
    <row r="11" spans="1:25" ht="15.75" customHeight="1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</row>
    <row r="12" spans="1:25" ht="15.75" customHeight="1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</row>
    <row r="13" spans="1:25" ht="15.75" customHeight="1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</row>
    <row r="14" spans="1:25" ht="15.75" customHeight="1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 spans="1:25" ht="15.75" customHeight="1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</row>
    <row r="16" spans="1:25" ht="15.75" customHeight="1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</row>
    <row r="17" spans="1:25" ht="15.75" customHeight="1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</row>
    <row r="18" spans="1:25" ht="15.75" customHeight="1">
      <c r="A18" s="139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</row>
    <row r="19" spans="1:25" ht="15.75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</row>
    <row r="20" spans="1:25" ht="15.75" customHeight="1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</row>
    <row r="21" spans="1:25" ht="15.75" customHeight="1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 spans="1:25" ht="15.75" customHeight="1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</row>
    <row r="23" spans="1:25" ht="15.7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  <row r="24" spans="1:25" ht="15.7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 spans="1:25" ht="15.7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spans="1:25" ht="15.75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 spans="1:25" ht="15.75" customHeight="1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 spans="1:25" ht="15.75" customHeight="1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 spans="1:25" ht="15.7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 spans="1:25" ht="15.7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spans="1:25" ht="15.7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spans="1:25" ht="15.7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</row>
    <row r="33" spans="1:25" ht="15.7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 spans="1:25" ht="15.7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</row>
    <row r="35" spans="1:25" ht="15.7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</row>
    <row r="36" spans="1:25" ht="15.7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</row>
    <row r="37" spans="1:25" ht="15.7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</row>
    <row r="38" spans="1:25" ht="15.7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</row>
    <row r="39" spans="1:25" ht="15.7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</row>
    <row r="40" spans="1:25" ht="15.7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</row>
    <row r="41" spans="1:25" ht="15.7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</row>
    <row r="42" spans="1:25" ht="15.7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</row>
    <row r="43" spans="1:25" ht="15.7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</row>
    <row r="44" spans="1:25" ht="15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</row>
    <row r="45" spans="1:25" ht="15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</row>
    <row r="46" spans="1:25" ht="15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</row>
    <row r="47" spans="1:25" ht="15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</row>
    <row r="48" spans="1:25" ht="15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</row>
    <row r="49" spans="1:25" ht="15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</row>
    <row r="50" spans="1:25" ht="15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</row>
    <row r="51" spans="1:25" ht="15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</row>
    <row r="52" spans="1:25" ht="15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</row>
    <row r="53" spans="1:25" ht="15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</row>
    <row r="54" spans="1:25" ht="15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</row>
    <row r="55" spans="1:25" ht="15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</row>
    <row r="56" spans="1:25" ht="15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</row>
    <row r="57" spans="1:25" ht="15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</row>
    <row r="58" spans="1:25" ht="15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</row>
    <row r="59" spans="1:25" ht="15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</row>
    <row r="60" spans="1:25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</row>
    <row r="61" spans="1:25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</row>
    <row r="62" spans="1:25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</row>
    <row r="63" spans="1:25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</row>
    <row r="64" spans="1:25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</row>
    <row r="65" spans="1:2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</row>
    <row r="66" spans="1:25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</row>
    <row r="67" spans="1:25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</row>
    <row r="68" spans="1:25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</row>
    <row r="69" spans="1:25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</row>
    <row r="70" spans="1:25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</row>
    <row r="71" spans="1:25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</row>
    <row r="72" spans="1:25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</row>
    <row r="73" spans="1:25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</row>
    <row r="74" spans="1:25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</row>
    <row r="75" spans="1:2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</row>
    <row r="76" spans="1:25" ht="15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</row>
    <row r="77" spans="1:25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</row>
    <row r="78" spans="1:25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</row>
    <row r="79" spans="1:25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</row>
    <row r="80" spans="1:25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</row>
    <row r="81" spans="1:25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</row>
    <row r="82" spans="1:25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</row>
    <row r="83" spans="1:25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</row>
    <row r="84" spans="1:25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</row>
    <row r="85" spans="1:2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</row>
    <row r="86" spans="1:25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</row>
    <row r="87" spans="1:25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</row>
    <row r="88" spans="1:25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</row>
    <row r="89" spans="1:25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</row>
    <row r="90" spans="1:25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</row>
    <row r="91" spans="1:25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</row>
    <row r="92" spans="1:25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</row>
    <row r="93" spans="1:25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</row>
    <row r="94" spans="1:25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</row>
    <row r="95" spans="1:2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</row>
    <row r="96" spans="1:25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</row>
    <row r="97" spans="1:25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</row>
    <row r="98" spans="1:25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</row>
    <row r="99" spans="1:25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</row>
    <row r="100" spans="1:25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</row>
    <row r="101" spans="1:25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</row>
    <row r="102" spans="1:25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</row>
    <row r="103" spans="1:25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</row>
    <row r="104" spans="1:25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</row>
    <row r="105" spans="1:2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</row>
    <row r="106" spans="1:25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</row>
    <row r="107" spans="1:25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</row>
    <row r="108" spans="1:25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</row>
    <row r="109" spans="1:25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</row>
    <row r="110" spans="1:25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</row>
    <row r="111" spans="1:25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spans="1:25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spans="1:25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spans="1:25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spans="1:2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 spans="1:25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spans="1:25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spans="1:25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spans="1:25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spans="1:25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spans="1:25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spans="1:25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spans="1:25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spans="1:25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spans="1: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spans="1:25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spans="1:25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</row>
    <row r="128" spans="1:25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</row>
    <row r="129" spans="1:25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</row>
    <row r="130" spans="1:25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</row>
    <row r="131" spans="1:25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</row>
    <row r="132" spans="1:25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</row>
    <row r="133" spans="1:25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</row>
    <row r="134" spans="1:25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</row>
    <row r="135" spans="1:2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</row>
    <row r="136" spans="1:25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</row>
    <row r="137" spans="1:25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</row>
    <row r="138" spans="1:25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</row>
    <row r="139" spans="1:25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</row>
    <row r="140" spans="1:25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</row>
    <row r="141" spans="1:25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</row>
    <row r="142" spans="1:25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</row>
    <row r="143" spans="1:25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</row>
    <row r="144" spans="1:25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</row>
    <row r="145" spans="1:2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</row>
    <row r="146" spans="1:25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</row>
    <row r="147" spans="1:25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</row>
    <row r="148" spans="1:25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</row>
    <row r="149" spans="1:25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</row>
    <row r="150" spans="1:25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</row>
    <row r="151" spans="1:25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</row>
    <row r="152" spans="1:25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</row>
    <row r="153" spans="1:25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</row>
    <row r="154" spans="1:25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</row>
    <row r="155" spans="1:2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</row>
    <row r="156" spans="1:25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</row>
    <row r="157" spans="1:25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</row>
    <row r="158" spans="1:25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</row>
    <row r="159" spans="1:25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</row>
    <row r="160" spans="1:25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</row>
    <row r="161" spans="1:25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</row>
    <row r="162" spans="1:25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</row>
    <row r="163" spans="1:25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</row>
    <row r="164" spans="1:25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</row>
    <row r="165" spans="1:2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</row>
    <row r="166" spans="1:25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</row>
    <row r="167" spans="1:25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</row>
    <row r="168" spans="1:25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</row>
    <row r="169" spans="1:25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</row>
    <row r="170" spans="1:25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</row>
    <row r="171" spans="1:25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</row>
    <row r="172" spans="1:25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</row>
    <row r="173" spans="1:25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</row>
    <row r="174" spans="1:25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</row>
    <row r="175" spans="1:2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 spans="1:25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</row>
    <row r="177" spans="1:25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</row>
    <row r="178" spans="1:25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</row>
    <row r="179" spans="1:25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</row>
    <row r="180" spans="1:25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</row>
    <row r="181" spans="1:25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</row>
    <row r="182" spans="1:25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</row>
    <row r="183" spans="1:25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</row>
    <row r="184" spans="1:25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</row>
    <row r="185" spans="1:2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</row>
    <row r="186" spans="1:25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</row>
    <row r="187" spans="1:25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</row>
    <row r="188" spans="1:25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</row>
    <row r="189" spans="1:25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</row>
    <row r="190" spans="1:25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</row>
    <row r="191" spans="1:25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</row>
    <row r="192" spans="1:25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</row>
    <row r="193" spans="1:25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</row>
    <row r="194" spans="1:25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</row>
    <row r="195" spans="1:2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</row>
    <row r="196" spans="1:25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</row>
    <row r="197" spans="1:25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</row>
    <row r="198" spans="1:25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</row>
    <row r="199" spans="1:25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</row>
    <row r="200" spans="1:25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</row>
    <row r="201" spans="1:25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</row>
    <row r="202" spans="1:25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</row>
    <row r="203" spans="1:25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</row>
    <row r="204" spans="1:25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</row>
    <row r="205" spans="1:2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</row>
    <row r="206" spans="1:25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</row>
    <row r="207" spans="1:25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</row>
    <row r="208" spans="1:25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</row>
    <row r="209" spans="1:25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</row>
    <row r="210" spans="1:25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</row>
    <row r="211" spans="1:25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</row>
    <row r="212" spans="1:25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</row>
    <row r="213" spans="1:25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</row>
    <row r="214" spans="1:25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</row>
    <row r="215" spans="1:2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</row>
    <row r="216" spans="1:25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</row>
    <row r="217" spans="1:25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</row>
    <row r="218" spans="1:25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</row>
    <row r="219" spans="1:25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</row>
    <row r="220" spans="1:25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1000"/>
  <sheetViews>
    <sheetView workbookViewId="0"/>
  </sheetViews>
  <sheetFormatPr defaultColWidth="12.6640625" defaultRowHeight="15" customHeight="1"/>
  <cols>
    <col min="1" max="6" width="12.6640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Hoàn ứng_CP ads T11</vt:lpstr>
      <vt:lpstr>BKCP  (Không hóa đơn)</vt:lpstr>
      <vt:lpstr>Bản sao của BKCP  (Có hóa đơn)</vt:lpstr>
      <vt:lpstr>Bản sao của Bản sao của BKCP  (</vt:lpstr>
      <vt:lpstr>BKCP (Không hóa đơn)</vt:lpstr>
      <vt:lpstr>Tiền 1 (KHĐ)</vt:lpstr>
      <vt:lpstr>Tiền 2 (CHĐ)</vt:lpstr>
      <vt:lpstr>Hồng Trinh (Không HĐ)</vt:lpstr>
      <vt:lpstr>Bản sao của Mỹ Trang (không HĐ)</vt:lpstr>
      <vt:lpstr>Bản sao của Bản sao của Mỹ Tran</vt:lpstr>
      <vt:lpstr>Bản sao của Mỹ Trang (Có HĐ)</vt:lpstr>
      <vt:lpstr>Trang (Không HĐ)</vt:lpstr>
      <vt:lpstr>Bản sao của Trang (Có HĐ)</vt:lpstr>
      <vt:lpstr>Bản sao của Bản sao của Trang (</vt:lpstr>
      <vt:lpstr>Trang (Có HĐ)</vt:lpstr>
      <vt:lpstr>Mỹ Trang 1 (Có VAT)</vt:lpstr>
      <vt:lpstr>ĐDCT</vt:lpstr>
      <vt:lpstr>Bản sao của ĐDCT</vt:lpstr>
      <vt:lpstr>LĐĐ</vt:lpstr>
      <vt:lpstr>đơn duyệt công tác (QN)</vt:lpstr>
      <vt:lpstr>Bản sao của đơn duyệt công tác </vt:lpstr>
      <vt:lpstr>Bản sao của Lệnh đi đường</vt:lpstr>
      <vt:lpstr>Bản sao của bảng kê chi phí</vt:lpstr>
      <vt:lpstr>Trần Quang Thuận</vt:lpstr>
      <vt:lpstr>Trang tính6</vt:lpstr>
      <vt:lpstr>Trang tính8</vt:lpstr>
      <vt:lpstr>Trang tính9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2026-03-04T08:26:12Z</cp:lastPrinted>
  <dcterms:created xsi:type="dcterms:W3CDTF">2026-01-02T09:28:10Z</dcterms:created>
  <dcterms:modified xsi:type="dcterms:W3CDTF">2026-03-04T08:26:54Z</dcterms:modified>
</cp:coreProperties>
</file>